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ia" sheetId="1" state="visible" r:id="rId1"/>
    <sheet name="01_premissas" sheetId="2" state="visible" r:id="rId2"/>
    <sheet name="02_bom" sheetId="3" state="visible" r:id="rId3"/>
    <sheet name="03_ponte" sheetId="4" state="visible" r:id="rId4"/>
    <sheet name="04_origem_uf" sheetId="5" state="visible" r:id="rId5"/>
    <sheet name="05_indireto_rs_atividade" sheetId="6" state="visible" r:id="rId6"/>
    <sheet name="06_indireto_por_uf" sheetId="7" state="visible" r:id="rId7"/>
    <sheet name="07_resultados" sheetId="8" state="visible" r:id="rId8"/>
    <sheet name="08_obra" sheetId="9" state="visible" r:id="rId9"/>
    <sheet name="09_fiscal" sheetId="10" state="visible" r:id="rId10"/>
    <sheet name="10_municipios" sheetId="11" state="visible" r:id="rId11"/>
    <sheet name="11_corede" sheetId="12" state="visible" r:id="rId12"/>
  </sheets>
  <definedNames>
    <definedName name="phi">'01_premissas'!$B$20</definedName>
    <definedName name="va_direto">'01_premissas'!$B$9</definedName>
    <definedName name="va_cadeia">'07_resultados'!$B$8</definedName>
    <definedName name="va_induzido">'07_resultados'!$B$11</definedName>
    <definedName name="transbordo">'07_resultados'!$B$12</definedName>
    <definedName name="conf_municipal_reais">'10_municipios'!$B$7</definedName>
    <definedName name="_xlnm.Print_Titles" localSheetId="0">'00_leia'!$6:$6</definedName>
    <definedName name="_xlnm.Print_Titles" localSheetId="1">'01_premissas'!$6:$6</definedName>
    <definedName name="_xlnm._FilterDatabase" localSheetId="2" hidden="1">'02_bom'!$A$6:$F$28</definedName>
    <definedName name="_xlnm.Print_Titles" localSheetId="2">'02_bom'!$6:$6</definedName>
    <definedName name="_xlnm._FilterDatabase" localSheetId="3" hidden="1">'03_ponte'!$A$6:$G$23</definedName>
    <definedName name="_xlnm.Print_Titles" localSheetId="3">'03_ponte'!$6:$6</definedName>
    <definedName name="_xlnm._FilterDatabase" localSheetId="4" hidden="1">'04_origem_uf'!$A$7:$F$337</definedName>
    <definedName name="_xlnm.Print_Titles" localSheetId="4">'04_origem_uf'!$7:$7</definedName>
    <definedName name="_xlnm._FilterDatabase" localSheetId="5" hidden="1">'05_indireto_rs_atividade'!$A$6:$G$74</definedName>
    <definedName name="_xlnm.Print_Titles" localSheetId="5">'05_indireto_rs_atividade'!$6:$6</definedName>
    <definedName name="_xlnm._FilterDatabase" localSheetId="6" hidden="1">'06_indireto_por_uf'!$A$6:$F$33</definedName>
    <definedName name="_xlnm.Print_Titles" localSheetId="6">'06_indireto_por_uf'!$6:$6</definedName>
    <definedName name="_xlnm.Print_Titles" localSheetId="7">'07_resultados'!$6:$6</definedName>
    <definedName name="_xlnm.Print_Titles" localSheetId="8">'08_obra'!$6:$6</definedName>
    <definedName name="_xlnm.Print_Titles" localSheetId="9">'09_fiscal'!$6:$6</definedName>
    <definedName name="_xlnm._FilterDatabase" localSheetId="10" hidden="1">'10_municipios'!$A$9:$L$506</definedName>
    <definedName name="_xlnm.Print_Titles" localSheetId="10">'10_municipios'!$9:$9</definedName>
    <definedName name="_xlnm.Print_Titles" localSheetId="11">'11_corede'!$6:$6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00"/>
    <numFmt numFmtId="166" formatCode="0.0%"/>
    <numFmt numFmtId="167" formatCode="#,##0.000"/>
    <numFmt numFmtId="168" formatCode="#,##0.000000"/>
  </numFmts>
  <fonts count="5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9"/>
    </font>
    <font>
      <name val="Calibri"/>
      <b val="1"/>
      <color rgb="001B3A4B"/>
      <sz val="10"/>
    </font>
    <font>
      <name val="Calibri"/>
      <color rgb="00243038"/>
      <sz val="10"/>
    </font>
  </fonts>
  <fills count="5">
    <fill>
      <patternFill/>
    </fill>
    <fill>
      <patternFill patternType="gray125"/>
    </fill>
    <fill>
      <patternFill patternType="solid">
        <fgColor rgb="00E7EEF0"/>
      </patternFill>
    </fill>
    <fill>
      <patternFill patternType="solid">
        <fgColor rgb="00FFF8E7"/>
      </patternFill>
    </fill>
    <fill>
      <patternFill patternType="solid">
        <fgColor rgb="00F3F6F4"/>
      </patternFill>
    </fill>
  </fills>
  <borders count="3">
    <border>
      <left/>
      <right/>
      <top/>
      <bottom/>
      <diagonal/>
    </border>
    <border>
      <bottom style="thin">
        <color rgb="00E0DCD3"/>
      </bottom>
    </border>
    <border>
      <top style="thin">
        <color rgb="001B3A4B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3" fontId="4" fillId="3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6" fontId="4" fillId="3" borderId="1" applyAlignment="1" pivotButton="0" quotePrefix="0" xfId="0">
      <alignment vertical="center" wrapText="1"/>
    </xf>
    <xf numFmtId="167" fontId="4" fillId="3" borderId="1" applyAlignment="1" pivotButton="0" quotePrefix="0" xfId="0">
      <alignment vertical="center" wrapText="1"/>
    </xf>
    <xf numFmtId="167" fontId="3" fillId="4" borderId="2" applyAlignment="1" pivotButton="0" quotePrefix="0" xfId="0">
      <alignment vertical="center" wrapText="1"/>
    </xf>
    <xf numFmtId="167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4" fontId="3" fillId="4" borderId="0" pivotButton="0" quotePrefix="0" xfId="0"/>
    <xf numFmtId="10" fontId="4" fillId="3" borderId="1" applyAlignment="1" pivotButton="0" quotePrefix="0" xfId="0">
      <alignment vertical="center" wrapText="1"/>
    </xf>
    <xf numFmtId="168" fontId="4" fillId="3" borderId="1" applyAlignment="1" pivotButton="0" quotePrefix="0" xfId="0">
      <alignment vertical="center" wrapText="1"/>
    </xf>
    <xf numFmtId="168" fontId="4" fillId="0" borderId="0" applyAlignment="1" pivotButton="0" quotePrefix="0" xfId="0">
      <alignment vertical="center" wrapText="1"/>
    </xf>
    <xf numFmtId="168" fontId="3" fillId="4" borderId="2" applyAlignment="1" pivotButton="0" quotePrefix="0" xfId="0">
      <alignment vertical="center" wrapText="1"/>
    </xf>
    <xf numFmtId="167" fontId="4" fillId="4" borderId="1" applyAlignment="1" pivotButton="0" quotePrefix="0" xfId="0">
      <alignment vertical="center" wrapText="1"/>
    </xf>
    <xf numFmtId="3" fontId="4" fillId="0" borderId="0" applyAlignment="1" pivotButton="0" quotePrefix="0" xfId="0">
      <alignment vertical="center" wrapText="1"/>
    </xf>
    <xf numFmtId="167" fontId="3" fillId="4" borderId="0" applyAlignment="1" pivotButton="0" quotePrefix="0" xfId="0">
      <alignment vertical="center" wrapText="1"/>
    </xf>
    <xf numFmtId="164" fontId="4" fillId="3" borderId="1" pivotButton="0" quotePrefix="0" xfId="0"/>
    <xf numFmtId="164" fontId="4" fillId="4" borderId="0" pivotButton="0" quotePrefix="0" xfId="0"/>
    <xf numFmtId="164" fontId="3" fillId="4" borderId="0" pivotButton="0" quotePrefix="0" xfId="0"/>
    <xf numFmtId="164" fontId="4" fillId="4" borderId="1" pivotButton="0" quotePrefix="0" xfId="0"/>
    <xf numFmtId="168" fontId="3" fillId="0" borderId="0" pivotButton="0" quotePrefix="0" xfId="0"/>
    <xf numFmtId="0" fontId="3" fillId="2" borderId="0" pivotButton="0" quotePrefix="0" xfId="0"/>
    <xf numFmtId="1" fontId="4" fillId="0" borderId="0" applyAlignment="1" pivotButton="0" quotePrefix="0" xfId="0">
      <alignment vertical="center" wrapText="1"/>
    </xf>
    <xf numFmtId="1" fontId="4" fillId="3" borderId="1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88" customWidth="1" min="2" max="2"/>
  </cols>
  <sheetData>
    <row r="1" ht="24" customHeight="1">
      <c r="A1" s="1" t="inlineStr">
        <is>
          <t>Planilha final auditável — Opção 2, MIP Ipea + MIP-RS</t>
        </is>
      </c>
    </row>
    <row r="2" ht="18" customHeight="1">
      <c r="A2" s="2" t="inlineStr">
        <is>
          <t>Unidade de trabalho: R$ milhões de 2025, salvo linha que diga o contrário. Ano cheio: 2037.</t>
        </is>
      </c>
    </row>
    <row r="3" ht="32" customHeight="1">
      <c r="A3" s="2" t="inlineStr">
        <is>
          <t>Motor: MIP inter-regional Ipea–Receita Federal, 2018, 27 UFs × 68 atividades, release v1 (NF-e). A MIP-RS 2019 é coluna de checagem. As duas contas não se somam.</t>
        </is>
      </c>
    </row>
    <row r="6">
      <c r="A6" s="3" t="inlineStr">
        <is>
          <t>Bloco</t>
        </is>
      </c>
      <c r="B6" s="3" t="inlineStr">
        <is>
          <t>Texto</t>
        </is>
      </c>
    </row>
    <row r="7" ht="36" customHeight="1">
      <c r="A7" s="4" t="inlineStr">
        <is>
          <t>O que é este arquivo</t>
        </is>
      </c>
      <c r="B7" s="5" t="inlineStr">
        <is>
          <t>A conta da operação de nicotina sem fumaça em Santa Cruz do Sul. A matriz que propaga o choque é a MIP Ipea. A MIP-RS 2019 (DEE/SPGG e UFRJ) permanece como ordem de grandeza, com os números já publicados.</t>
        </is>
      </c>
    </row>
    <row r="8" ht="36" customHeight="1">
      <c r="A8" s="4" t="inlineStr">
        <is>
          <t>Manchete</t>
        </is>
      </c>
      <c r="B8" s="5" t="inlineStr">
        <is>
          <t>Tipo I da MIP Ipea no RS: direto da planta mais indireto inter-regional que cai no RS. O induzido é uma rodada à parte e não entra nessa soma. O indireto nos outros estados é o vazamento medido.</t>
        </is>
      </c>
    </row>
    <row r="9" ht="36" customHeight="1">
      <c r="A9" s="4" t="inlineStr">
        <is>
          <t>O que é dado da revisão 4</t>
        </is>
      </c>
      <c r="B9" s="5" t="inlineStr">
        <is>
          <t>Receita, insumos de R$ 8.000 milhões, valor adicionado direto, 4.060 ocupações, remuneração de R$ 150 mil por ocupação, folha de R$ 114,2 milhões no Sul e R$ 52,8 milhões no RS. Células amarelas.</t>
        </is>
      </c>
    </row>
    <row r="10" ht="36" customHeight="1">
      <c r="A10" s="4" t="inlineStr">
        <is>
          <t>O que continua estimativa</t>
        </is>
      </c>
      <c r="B10" s="5" t="inlineStr">
        <is>
          <t>A abertura de produtos do BOM. A origem geográfica deixou de ser o percentual manual e passou a ser a oferta da TRU ao consumo intermediário do RS.</t>
        </is>
      </c>
    </row>
    <row r="11" ht="36" customHeight="1">
      <c r="A11" s="4" t="inlineStr">
        <is>
          <t>Fator de preço</t>
        </is>
      </c>
      <c r="B11" s="5" t="inlineStr">
        <is>
          <t>φ = IPCA dez/2018 ÷ IPCA dez/2025, SIDRA 1737. A célula nomeada phi está na aba 01. O coeficiente 0,7186 era 2019 e não entra.</t>
        </is>
      </c>
    </row>
    <row r="12" ht="36" customHeight="1">
      <c r="A12" s="4" t="inlineStr">
        <is>
          <t>Obra</t>
        </is>
      </c>
      <c r="B12" s="5" t="inlineStr">
        <is>
          <t>A MAI não casa com a parcela local (máquina importada fora). O número da obra é o da MIP-RS, bloco 2026–2027, e não se soma a 2037.</t>
        </is>
      </c>
    </row>
    <row r="13" ht="36" customHeight="1">
      <c r="A13" s="4" t="inlineStr">
        <is>
          <t>Conferência municipal</t>
        </is>
      </c>
      <c r="B13" s="5" t="inlineStr">
        <is>
          <t>A soma dos 497 municípios, com o ajuste de fechamento em Santa Cruz do Sul, iguala o indireto Ipea no RS mais o induzido no RS. A célula de conferência, em reais, é zero.</t>
        </is>
      </c>
    </row>
    <row r="14" ht="36" customHeight="1">
      <c r="A14" s="4" t="inlineStr">
        <is>
          <t>O que não somar</t>
        </is>
      </c>
      <c r="B14" s="5" t="inlineStr">
        <is>
          <t>Não some Ipea com MIP-RS. Não some o induzido ao tipo I na manchete. Não some a obra a 2037. Não aplique a coluna do fumo sobre a receita.</t>
        </is>
      </c>
    </row>
  </sheetData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62" customWidth="1" min="3" max="3"/>
  </cols>
  <sheetData>
    <row r="1" ht="24" customHeight="1">
      <c r="A1" s="1" t="inlineStr">
        <is>
          <t>Premissas da planta — revisão 4, intactas</t>
        </is>
      </c>
    </row>
    <row r="2" ht="18" customHeight="1">
      <c r="A2" s="2" t="inlineStr">
        <is>
          <t>R$ milhões de 2025, ano cheio 2037, com exportação. A receita não é o choque.</t>
        </is>
      </c>
    </row>
    <row r="3" ht="32" customHeight="1">
      <c r="A3" s="2" t="inlineStr">
        <is>
          <t>Âncoras da revisão 4 de 18/10/2026. O IPCA é SIDRA 1737, número-índice, dezembro.</t>
        </is>
      </c>
    </row>
    <row r="6">
      <c r="A6" s="3" t="inlineStr">
        <is>
          <t>Item</t>
        </is>
      </c>
      <c r="B6" s="3" t="inlineStr">
        <is>
          <t>Valor</t>
        </is>
      </c>
      <c r="C6" s="3" t="inlineStr">
        <is>
          <t>Papel</t>
        </is>
      </c>
    </row>
    <row r="7">
      <c r="A7" s="5" t="inlineStr">
        <is>
          <t>Receita ex-fábrica</t>
        </is>
      </c>
      <c r="B7" s="6" t="n">
        <v>15830</v>
      </c>
      <c r="C7" s="5" t="inlineStr">
        <is>
          <t>Teto contábil. Fora do vetor.</t>
        </is>
      </c>
    </row>
    <row r="8">
      <c r="A8" s="5" t="inlineStr">
        <is>
          <t>Insumos, âncora</t>
        </is>
      </c>
      <c r="B8" s="6" t="n">
        <v>8000</v>
      </c>
      <c r="C8" s="5" t="inlineStr">
        <is>
          <t>Base das compras. O vetor publicado fecha em R$ 7.999,97 milhões.</t>
        </is>
      </c>
    </row>
    <row r="9">
      <c r="A9" s="5" t="inlineStr">
        <is>
          <t>Valor adicionado direto</t>
        </is>
      </c>
      <c r="B9" s="6" t="n">
        <v>7830</v>
      </c>
      <c r="C9" s="5" t="inlineStr">
        <is>
          <t>Uma vez, em Santa Cruz do Sul.</t>
        </is>
      </c>
    </row>
    <row r="10">
      <c r="A10" s="5" t="inlineStr">
        <is>
          <t>Ocupações diretas</t>
        </is>
      </c>
      <c r="B10" s="7" t="n">
        <v>4060</v>
      </c>
      <c r="C10" s="5" t="inlineStr">
        <is>
          <t>Estoque de 2037.</t>
        </is>
      </c>
    </row>
    <row r="11">
      <c r="A11" s="5" t="inlineStr">
        <is>
          <t xml:space="preserve">Remuneração por ocupação, R$ </t>
        </is>
      </c>
      <c r="B11" s="7" t="n">
        <v>150000</v>
      </c>
      <c r="C11" s="5" t="inlineStr">
        <is>
          <t>Com encargos. Premissa v6.</t>
        </is>
      </c>
    </row>
    <row r="12">
      <c r="A12" s="5" t="inlineStr">
        <is>
          <t>Remuneração direta</t>
        </is>
      </c>
      <c r="B12" s="8">
        <f>B10*B11/1000000</f>
        <v/>
      </c>
      <c r="C12" s="5" t="inlineStr">
        <is>
          <t>Ocupações × remuneração, em R$ milhões.</t>
        </is>
      </c>
    </row>
    <row r="13">
      <c r="A13" s="5" t="inlineStr">
        <is>
          <t>Folha no Sul</t>
        </is>
      </c>
      <c r="B13" s="6" t="n">
        <v>114.2</v>
      </c>
      <c r="C13" s="5" t="inlineStr">
        <is>
          <t>RS + SC + PR.</t>
        </is>
      </c>
    </row>
    <row r="14">
      <c r="A14" s="5" t="inlineStr">
        <is>
          <t>Folha no RS</t>
        </is>
      </c>
      <c r="B14" s="6" t="n">
        <v>52.8</v>
      </c>
      <c r="C14" s="5" t="inlineStr">
        <is>
          <t>3.007 t. Agricultura do RS.</t>
        </is>
      </c>
    </row>
    <row r="15">
      <c r="A15" s="5" t="inlineStr">
        <is>
          <t>Folha em Santa Catarina</t>
        </is>
      </c>
      <c r="B15" s="8">
        <f>(B13-B14)*29/54</f>
        <v/>
      </c>
      <c r="C15" s="5" t="inlineStr">
        <is>
          <t>29/54 do que não é RS.</t>
        </is>
      </c>
    </row>
    <row r="16">
      <c r="A16" s="5" t="inlineStr">
        <is>
          <t>Folha no Paraná</t>
        </is>
      </c>
      <c r="B16" s="8">
        <f>(B13-B14)*25/54</f>
        <v/>
      </c>
      <c r="C16" s="5" t="inlineStr">
        <is>
          <t>25/54 do que não é RS.</t>
        </is>
      </c>
    </row>
    <row r="17">
      <c r="A17" s="5" t="inlineStr">
        <is>
          <t>Toneladas de folha no RS</t>
        </is>
      </c>
      <c r="B17" s="6" t="n">
        <v>3007</v>
      </c>
      <c r="C17" s="5" t="inlineStr">
        <is>
          <t>Âncora.</t>
        </is>
      </c>
    </row>
    <row r="18">
      <c r="A18" s="5" t="inlineStr">
        <is>
          <t>IPCA dezembro de 2018</t>
        </is>
      </c>
      <c r="B18" s="9" t="n">
        <v>5100.61</v>
      </c>
      <c r="C18" s="5" t="inlineStr">
        <is>
          <t>SIDRA 1737.</t>
        </is>
      </c>
    </row>
    <row r="19">
      <c r="A19" s="5" t="inlineStr">
        <is>
          <t>IPCA dezembro de 2025</t>
        </is>
      </c>
      <c r="B19" s="9" t="n">
        <v>7403.29</v>
      </c>
      <c r="C19" s="5" t="inlineStr">
        <is>
          <t>SIDRA 1737.</t>
        </is>
      </c>
    </row>
    <row r="20">
      <c r="A20" s="5" t="inlineStr">
        <is>
          <t>phi, 2018 sobre 2025</t>
        </is>
      </c>
      <c r="B20" s="10">
        <f>B18/B19</f>
        <v/>
      </c>
      <c r="C20" s="5" t="inlineStr">
        <is>
          <t>IPCA 2018 ÷ IPCA 2025.</t>
        </is>
      </c>
    </row>
    <row r="21">
      <c r="A21" s="5" t="inlineStr">
        <is>
          <t>Propensão a consumir no RS</t>
        </is>
      </c>
      <c r="B21" s="11" t="n">
        <v>0.6</v>
      </c>
      <c r="C21" s="5" t="inlineStr">
        <is>
          <t>Uma rodada, só para o induzido.</t>
        </is>
      </c>
    </row>
  </sheetData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16" customWidth="1" min="4" max="4"/>
    <col width="18" customWidth="1" min="5" max="5"/>
    <col width="55" customWidth="1" min="6" max="6"/>
  </cols>
  <sheetData>
    <row r="1" ht="24" customHeight="1">
      <c r="A1" s="1" t="inlineStr">
        <is>
          <t>Abertura estimada dos produtos — reusada</t>
        </is>
      </c>
    </row>
    <row r="2" ht="18" customHeight="1">
      <c r="A2" s="2" t="inlineStr">
        <is>
          <t>R$ milhões de 2025. O valor da linha entra no vetor. O percentual manual da rodada anterior fica na coluna ao lado e não define a origem.</t>
        </is>
      </c>
    </row>
    <row r="3" ht="32" customHeight="1">
      <c r="A3" s="2" t="inlineStr">
        <is>
          <t>Fonte: resultados.json, compras do cenário base, linhas já ancoradas. A origem geográfica está na aba 04.</t>
        </is>
      </c>
    </row>
    <row r="6">
      <c r="A6" s="3" t="inlineStr">
        <is>
          <t>Linha</t>
        </is>
      </c>
      <c r="B6" s="3" t="inlineStr">
        <is>
          <t>Família</t>
        </is>
      </c>
      <c r="C6" s="3" t="inlineStr">
        <is>
          <t>Valor (R$ mi)</t>
        </is>
      </c>
      <c r="D6" s="3" t="inlineStr">
        <is>
          <t>Percentual manual RS</t>
        </is>
      </c>
      <c r="E6" s="3" t="inlineStr">
        <is>
          <t>Produto antigo</t>
        </is>
      </c>
      <c r="F6" s="3" t="inlineStr">
        <is>
          <t>Regra antiga, fora do vetor Ipea</t>
        </is>
      </c>
    </row>
    <row r="7">
      <c r="A7" s="5" t="inlineStr">
        <is>
          <t>Dispositivo e eletrônico do pod</t>
        </is>
      </c>
      <c r="B7" s="5" t="inlineStr">
        <is>
          <t>eliq</t>
        </is>
      </c>
      <c r="C7" s="12" t="n">
        <v>6294.71742451</v>
      </c>
      <c r="D7" s="11" t="n">
        <v>0.05</v>
      </c>
      <c r="E7" s="5" t="inlineStr">
        <is>
          <t>PR066</t>
        </is>
      </c>
      <c r="F7" s="5" t="inlineStr">
        <is>
          <t>5% RS. Teto MIP PR066 no consumo intermediário: 8,2% local. Pod específico, desconto de especificidade; 85% importado.</t>
        </is>
      </c>
    </row>
    <row r="8">
      <c r="A8" s="5" t="inlineStr">
        <is>
          <t>Glicerina vegetal do e-líquido</t>
        </is>
      </c>
      <c r="B8" s="5" t="inlineStr">
        <is>
          <t>eliq</t>
        </is>
      </c>
      <c r="C8" s="12" t="n">
        <v>18.73144404</v>
      </c>
      <c r="D8" s="11" t="n">
        <v>0.35</v>
      </c>
      <c r="E8" s="5" t="inlineStr">
        <is>
          <t>PR047</t>
        </is>
      </c>
      <c r="F8" s="5" t="inlineStr">
        <is>
          <t>35% RS. Piso abaixo da média MIP de químicos orgânicos (PR047, 65% local): glicerina de biodiesel tem oferta gaúcha, sem ser a média do produto.</t>
        </is>
      </c>
    </row>
    <row r="9">
      <c r="A9" s="5" t="inlineStr">
        <is>
          <t>Propilenoglicol do e-líquido</t>
        </is>
      </c>
      <c r="B9" s="5" t="inlineStr">
        <is>
          <t>eliq</t>
        </is>
      </c>
      <c r="C9" s="12" t="n">
        <v>21.85335138</v>
      </c>
      <c r="D9" s="11" t="n">
        <v>0.1</v>
      </c>
      <c r="E9" s="5" t="inlineStr">
        <is>
          <t>PR047</t>
        </is>
      </c>
      <c r="F9" s="5" t="inlineStr">
        <is>
          <t>10% RS. Químico orgânico mais específico que a média do PR047; oferta petroquímica concentrada em outros estados.</t>
        </is>
      </c>
    </row>
    <row r="10">
      <c r="A10" s="5" t="inlineStr">
        <is>
          <t>Aroma do e-líquido</t>
        </is>
      </c>
      <c r="B10" s="5" t="inlineStr">
        <is>
          <t>eliq</t>
        </is>
      </c>
      <c r="C10" s="12" t="n">
        <v>60.13131871</v>
      </c>
      <c r="D10" s="11" t="n">
        <v>0.15</v>
      </c>
      <c r="E10" s="5" t="inlineStr">
        <is>
          <t>PR051</t>
        </is>
      </c>
      <c r="F10" s="5" t="inlineStr">
        <is>
          <t>15% RS. Abaixo do PR051 (químicos diversos, 40,3% local): aroma composto é especialidade, com peso de importação.</t>
        </is>
      </c>
    </row>
    <row r="11">
      <c r="A11" s="5" t="inlineStr">
        <is>
          <t>Extração de nicotina além da folha</t>
        </is>
      </c>
      <c r="B11" s="5" t="inlineStr">
        <is>
          <t>eliq</t>
        </is>
      </c>
      <c r="C11" s="12" t="n">
        <v>27.06678284</v>
      </c>
      <c r="D11" s="11" t="n">
        <v>0.3</v>
      </c>
      <c r="E11" s="5" t="inlineStr">
        <is>
          <t>PR051</t>
        </is>
      </c>
      <c r="F11" s="5" t="inlineStr">
        <is>
          <t>30% RS. Insumo de extração (solvente e processo), entre o PR047 e o PR051. A folha em si não está nesta linha.</t>
        </is>
      </c>
    </row>
    <row r="12">
      <c r="A12" s="5" t="inlineStr">
        <is>
          <t>Embalagem do pod</t>
        </is>
      </c>
      <c r="B12" s="5" t="inlineStr">
        <is>
          <t>eliq</t>
        </is>
      </c>
      <c r="C12" s="12" t="n">
        <v>54.15089397</v>
      </c>
      <c r="D12" s="11" t="n">
        <v>0.4</v>
      </c>
      <c r="E12" s="5" t="inlineStr">
        <is>
          <t>PR036</t>
        </is>
      </c>
      <c r="F12" s="5" t="inlineStr">
        <is>
          <t>40% RS. Perto da média MIP do papel e da embalagem (PR036, 39,7% local): caixa e rótulo podem ser impressos no estado.</t>
        </is>
      </c>
    </row>
    <row r="13">
      <c r="A13" s="5" t="inlineStr">
        <is>
          <t>Químicos do stick</t>
        </is>
      </c>
      <c r="B13" s="5" t="inlineStr">
        <is>
          <t>stick</t>
        </is>
      </c>
      <c r="C13" s="12" t="n">
        <v>46.91140776</v>
      </c>
      <c r="D13" s="11" t="n">
        <v>0.25</v>
      </c>
      <c r="E13" s="5" t="inlineStr">
        <is>
          <t>PR051</t>
        </is>
      </c>
      <c r="F13" s="5" t="inlineStr">
        <is>
          <t>25% RS. Entre a média do PR051 (40%) e um desconto de especialidade do stick (aroma e ligante).</t>
        </is>
      </c>
    </row>
    <row r="14">
      <c r="A14" s="5" t="inlineStr">
        <is>
          <t>Papel, filtro e embalagem do stick</t>
        </is>
      </c>
      <c r="B14" s="5" t="inlineStr">
        <is>
          <t>stick</t>
        </is>
      </c>
      <c r="C14" s="12" t="n">
        <v>1117.4857755</v>
      </c>
      <c r="D14" s="11" t="n">
        <v>0.25</v>
      </c>
      <c r="E14" s="5" t="inlineStr">
        <is>
          <t>PR036</t>
        </is>
      </c>
      <c r="F14" s="5" t="inlineStr">
        <is>
          <t>25% RS. Abaixo do PR036 (39,7%): papel de cigarro e filtro de acetato são mais específicos que a média de papel e embalagem; parte do acetato é importada.</t>
        </is>
      </c>
    </row>
    <row r="15">
      <c r="A15" s="5" t="inlineStr">
        <is>
          <t>Químicos do sachê</t>
        </is>
      </c>
      <c r="B15" s="5" t="inlineStr">
        <is>
          <t>sach</t>
        </is>
      </c>
      <c r="C15" s="12" t="n">
        <v>17.8491468</v>
      </c>
      <c r="D15" s="11" t="n">
        <v>0.15</v>
      </c>
      <c r="E15" s="5" t="inlineStr">
        <is>
          <t>PR051</t>
        </is>
      </c>
      <c r="F15" s="5" t="inlineStr">
        <is>
          <t>15% RS. Sachê de exportação, insumo mais específico e mais importado que a média do PR051.</t>
        </is>
      </c>
    </row>
    <row r="16">
      <c r="A16" s="5" t="inlineStr">
        <is>
          <t>Papel e embalagem do sachê</t>
        </is>
      </c>
      <c r="B16" s="5" t="inlineStr">
        <is>
          <t>sach</t>
        </is>
      </c>
      <c r="C16" s="12" t="n">
        <v>14.60384738</v>
      </c>
      <c r="D16" s="11" t="n">
        <v>0.3</v>
      </c>
      <c r="E16" s="5" t="inlineStr">
        <is>
          <t>PR036</t>
        </is>
      </c>
      <c r="F16" s="5" t="inlineStr">
        <is>
          <t>30% RS. Entre o PR036 (39,7%) e um desconto de especificidade da lata e do papel do sachê.</t>
        </is>
      </c>
    </row>
    <row r="17">
      <c r="A17" s="5" t="inlineStr">
        <is>
          <t>Energia elétrica e combustível</t>
        </is>
      </c>
      <c r="B17" s="5" t="inlineStr">
        <is>
          <t>eliq</t>
        </is>
      </c>
      <c r="C17" s="12" t="n">
        <v>10.65754574</v>
      </c>
      <c r="D17" s="11" t="n">
        <v>1</v>
      </c>
      <c r="E17" s="5" t="inlineStr">
        <is>
          <t>PR080</t>
        </is>
      </c>
      <c r="F17" s="5" t="inlineStr">
        <is>
          <t>100% RS. Energia faturada no estado entra local; o vazamento da geração já está na matriz. MIP PR080: 66% da oferta média é gaúcha — não se usa esse percentual para descontar a fatura.</t>
        </is>
      </c>
    </row>
    <row r="18">
      <c r="A18" s="5" t="inlineStr">
        <is>
          <t>Energia elétrica e combustível</t>
        </is>
      </c>
      <c r="B18" s="5" t="inlineStr">
        <is>
          <t>stick</t>
        </is>
      </c>
      <c r="C18" s="12" t="n">
        <v>28.51719787</v>
      </c>
      <c r="D18" s="11" t="n">
        <v>1</v>
      </c>
      <c r="E18" s="5" t="inlineStr">
        <is>
          <t>PR080</t>
        </is>
      </c>
      <c r="F18" s="5" t="inlineStr">
        <is>
          <t>100% RS. Energia faturada no estado entra local; o vazamento da geração já está na matriz. MIP PR080: 66% da oferta média é gaúcha — não se usa esse percentual para descontar a fatura.</t>
        </is>
      </c>
    </row>
    <row r="19">
      <c r="A19" s="5" t="inlineStr">
        <is>
          <t>Energia elétrica e combustível</t>
        </is>
      </c>
      <c r="B19" s="5" t="inlineStr">
        <is>
          <t>sach</t>
        </is>
      </c>
      <c r="C19" s="12" t="n">
        <v>0.318963633226</v>
      </c>
      <c r="D19" s="11" t="n">
        <v>1</v>
      </c>
      <c r="E19" s="5" t="inlineStr">
        <is>
          <t>PR080</t>
        </is>
      </c>
      <c r="F19" s="5" t="inlineStr">
        <is>
          <t>100% RS. Energia faturada no estado entra local; o vazamento da geração já está na matriz. MIP PR080: 66% da oferta média é gaúcha — não se usa esse percentual para descontar a fatura.</t>
        </is>
      </c>
    </row>
    <row r="20">
      <c r="A20" s="5" t="inlineStr">
        <is>
          <t>Água</t>
        </is>
      </c>
      <c r="B20" s="5" t="inlineStr">
        <is>
          <t>eliq</t>
        </is>
      </c>
      <c r="C20" s="12" t="n">
        <v>0.524572706149</v>
      </c>
      <c r="D20" s="11" t="n">
        <v>1</v>
      </c>
      <c r="E20" s="5" t="inlineStr">
        <is>
          <t>PR081</t>
        </is>
      </c>
      <c r="F20" s="5" t="inlineStr">
        <is>
          <t>100% RS. Água, esgoto e resíduo (PR081) são locais na MIP (99,9%).</t>
        </is>
      </c>
    </row>
    <row r="21">
      <c r="A21" s="5" t="inlineStr">
        <is>
          <t>Água</t>
        </is>
      </c>
      <c r="B21" s="5" t="inlineStr">
        <is>
          <t>stick</t>
        </is>
      </c>
      <c r="C21" s="12" t="n">
        <v>1.4036387</v>
      </c>
      <c r="D21" s="11" t="n">
        <v>1</v>
      </c>
      <c r="E21" s="5" t="inlineStr">
        <is>
          <t>PR081</t>
        </is>
      </c>
      <c r="F21" s="5" t="inlineStr">
        <is>
          <t>100% RS. Água, esgoto e resíduo (PR081) são locais na MIP (99,9%).</t>
        </is>
      </c>
    </row>
    <row r="22">
      <c r="A22" s="5" t="inlineStr">
        <is>
          <t>Água</t>
        </is>
      </c>
      <c r="B22" s="5" t="inlineStr">
        <is>
          <t>sach</t>
        </is>
      </c>
      <c r="C22" s="12" t="n">
        <v>0.01569963857</v>
      </c>
      <c r="D22" s="11" t="n">
        <v>1</v>
      </c>
      <c r="E22" s="5" t="inlineStr">
        <is>
          <t>PR081</t>
        </is>
      </c>
      <c r="F22" s="5" t="inlineStr">
        <is>
          <t>100% RS. Água, esgoto e resíduo (PR081) são locais na MIP (99,9%).</t>
        </is>
      </c>
    </row>
    <row r="23">
      <c r="A23" s="5" t="inlineStr">
        <is>
          <t>Frete interno</t>
        </is>
      </c>
      <c r="B23" s="5" t="inlineStr">
        <is>
          <t>eliq</t>
        </is>
      </c>
      <c r="C23" s="12" t="n">
        <v>25</v>
      </c>
      <c r="D23" s="11" t="n">
        <v>1</v>
      </c>
      <c r="E23" s="5" t="inlineStr">
        <is>
          <t>PR086</t>
        </is>
      </c>
      <c r="F23" s="5" t="inlineStr">
        <is>
          <t>100% RS. Frete interno até a planta. MIP do transporte de carga (PR086): 99,2% local.</t>
        </is>
      </c>
    </row>
    <row r="24">
      <c r="A24" s="5" t="inlineStr">
        <is>
          <t>Frete interno</t>
        </is>
      </c>
      <c r="B24" s="5" t="inlineStr">
        <is>
          <t>stick</t>
        </is>
      </c>
      <c r="C24" s="12" t="n">
        <v>25</v>
      </c>
      <c r="D24" s="11" t="n">
        <v>1</v>
      </c>
      <c r="E24" s="5" t="inlineStr">
        <is>
          <t>PR086</t>
        </is>
      </c>
      <c r="F24" s="5" t="inlineStr">
        <is>
          <t>100% RS. Frete interno até a planta. MIP do transporte de carga (PR086): 99,2% local.</t>
        </is>
      </c>
    </row>
    <row r="25">
      <c r="A25" s="5" t="inlineStr">
        <is>
          <t>Frete interno</t>
        </is>
      </c>
      <c r="B25" s="5" t="inlineStr">
        <is>
          <t>sach</t>
        </is>
      </c>
      <c r="C25" s="12" t="n">
        <v>1.5</v>
      </c>
      <c r="D25" s="11" t="n">
        <v>1</v>
      </c>
      <c r="E25" s="5" t="inlineStr">
        <is>
          <t>PR086</t>
        </is>
      </c>
      <c r="F25" s="5" t="inlineStr">
        <is>
          <t>100% RS. Frete interno até a planta. MIP do transporte de carga (PR086): 99,2% local.</t>
        </is>
      </c>
    </row>
    <row r="26">
      <c r="A26" s="5" t="inlineStr">
        <is>
          <t>Manutenção</t>
        </is>
      </c>
      <c r="B26" s="5" t="inlineStr">
        <is>
          <t>eliq</t>
        </is>
      </c>
      <c r="C26" s="12" t="n">
        <v>39.3129642</v>
      </c>
      <c r="D26" s="11" t="n">
        <v>0.2</v>
      </c>
      <c r="E26" s="5" t="inlineStr">
        <is>
          <t>PR079</t>
        </is>
      </c>
      <c r="F26" s="5" t="inlineStr">
        <is>
          <t>20% RS. MIP da manutenção (PR079): 30,2% local e 5% importado. Peça de máquina da PMI é mais importada que a média; desconto para 20% RS e 50% importado.</t>
        </is>
      </c>
    </row>
    <row r="27">
      <c r="A27" s="5" t="inlineStr">
        <is>
          <t>Manutenção</t>
        </is>
      </c>
      <c r="B27" s="5" t="inlineStr">
        <is>
          <t>stick</t>
        </is>
      </c>
      <c r="C27" s="12" t="n">
        <v>77.82972901000001</v>
      </c>
      <c r="D27" s="11" t="n">
        <v>0.2</v>
      </c>
      <c r="E27" s="5" t="inlineStr">
        <is>
          <t>PR079</t>
        </is>
      </c>
      <c r="F27" s="5" t="inlineStr">
        <is>
          <t>20% RS. MIP da manutenção (PR079): 30,2% local e 5% importado. Peça de máquina da PMI é mais importada que a média; desconto para 20% RS e 50% importado.</t>
        </is>
      </c>
    </row>
    <row r="28">
      <c r="A28" s="5" t="inlineStr">
        <is>
          <t>Manutenção</t>
        </is>
      </c>
      <c r="B28" s="5" t="inlineStr">
        <is>
          <t>sach</t>
        </is>
      </c>
      <c r="C28" s="12" t="n">
        <v>2.18862903</v>
      </c>
      <c r="D28" s="11" t="n">
        <v>0.2</v>
      </c>
      <c r="E28" s="5" t="inlineStr">
        <is>
          <t>PR079</t>
        </is>
      </c>
      <c r="F28" s="5" t="inlineStr">
        <is>
          <t>20% RS. MIP da manutenção (PR079): 30,2% local e 5% importado. Peça de máquina da PMI é mais importada que a média; desconto para 20% RS e 50% importado.</t>
        </is>
      </c>
    </row>
    <row r="29">
      <c r="A29" s="4" t="inlineStr">
        <is>
          <t>Insumos que não são folha</t>
        </is>
      </c>
      <c r="C29" s="13">
        <f>SUM(C7:C28)</f>
        <v/>
      </c>
    </row>
    <row r="30">
      <c r="A30" s="4" t="inlineStr">
        <is>
          <t>Folha no Sul</t>
        </is>
      </c>
      <c r="C30" s="13">
        <f>'01_premissas'!B13</f>
        <v/>
      </c>
    </row>
    <row r="31">
      <c r="A31" s="4" t="inlineStr">
        <is>
          <t>Vetor, insumos</t>
        </is>
      </c>
      <c r="C31" s="13">
        <f>C29+C30</f>
        <v/>
      </c>
      <c r="F31" s="5" t="inlineStr">
        <is>
          <t>Fecha na âncora de 8.000 a menos do resíduo já publicado, cerca de R$ 0,03 milhão.</t>
        </is>
      </c>
    </row>
  </sheetData>
  <autoFilter ref="A6:F28"/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55" customWidth="1" min="3" max="3"/>
    <col width="55" customWidth="1" min="4" max="4"/>
    <col width="16" customWidth="1" min="5" max="5"/>
    <col width="18" customWidth="1" min="6" max="6"/>
    <col width="16" customWidth="1" min="7" max="7"/>
  </cols>
  <sheetData>
    <row r="1" ht="24" customHeight="1">
      <c r="A1" s="1" t="inlineStr">
        <is>
          <t>Ponte do BOM para a atividade Ipea de 68</t>
        </is>
      </c>
    </row>
    <row r="2" ht="18" customHeight="1">
      <c r="A2" s="2" t="inlineStr">
        <is>
          <t>R$ milhões de 2025. A parcela RS é a oferta gaúcha do produto ao consumo intermediário do RS.</t>
        </is>
      </c>
    </row>
    <row r="3" ht="32" customHeight="1">
      <c r="A3" s="2" t="inlineStr">
        <is>
          <t>Fonte: ipea_ponte_bom.csv. A folha não usa a TRU: vai para a agricultura do RS, de SC e do PR.</t>
        </is>
      </c>
    </row>
    <row r="6">
      <c r="A6" s="3" t="inlineStr">
        <is>
          <t>Linha</t>
        </is>
      </c>
      <c r="B6" s="3" t="inlineStr">
        <is>
          <t>Valor (R$ mi)</t>
        </is>
      </c>
      <c r="C6" s="3" t="inlineStr">
        <is>
          <t>Produto na TRU</t>
        </is>
      </c>
      <c r="D6" s="3" t="inlineStr">
        <is>
          <t>Atividade Ipea</t>
        </is>
      </c>
      <c r="E6" s="3" t="inlineStr">
        <is>
          <t>Parcela RS</t>
        </is>
      </c>
      <c r="F6" s="3" t="inlineStr">
        <is>
          <t>Valor no RS</t>
        </is>
      </c>
      <c r="G6" s="3" t="inlineStr">
        <is>
          <t>Parcela na atividade ponte</t>
        </is>
      </c>
    </row>
    <row r="7">
      <c r="A7" s="5" t="inlineStr">
        <is>
          <t>Dispositivo e eletrônico do pod</t>
        </is>
      </c>
      <c r="B7" s="12" t="n">
        <v>6294.71742451</v>
      </c>
      <c r="C7" s="5" t="inlineStr">
        <is>
          <t>Material eletrônico e equip. de comunicações</t>
        </is>
      </c>
      <c r="D7" s="5" t="inlineStr">
        <is>
          <t>Fabricação de equipamentos de informática, produtos eletrônicos e ópticos</t>
        </is>
      </c>
      <c r="E7" s="11" t="n">
        <v>0.4050311433439001</v>
      </c>
      <c r="F7" s="14">
        <f>B7*E7</f>
        <v/>
      </c>
      <c r="G7" s="11" t="n">
        <v>0.6996787411321792</v>
      </c>
    </row>
    <row r="8">
      <c r="A8" s="5" t="inlineStr">
        <is>
          <t>Glicerina vegetal do e-líquido</t>
        </is>
      </c>
      <c r="B8" s="12" t="n">
        <v>18.73144404</v>
      </c>
      <c r="C8" s="5" t="inlineStr">
        <is>
          <t>Produtos químicos orgânicos</t>
        </is>
      </c>
      <c r="D8" s="5" t="inlineStr">
        <is>
          <t>Fabricação de químicos orgânicos e inorgânicos, resinas e elastômeros</t>
        </is>
      </c>
      <c r="E8" s="11" t="n">
        <v>0.8224822547226676</v>
      </c>
      <c r="F8" s="14">
        <f>B8*E8</f>
        <v/>
      </c>
      <c r="G8" s="11" t="n">
        <v>0.9440640322508532</v>
      </c>
    </row>
    <row r="9">
      <c r="A9" s="5" t="inlineStr">
        <is>
          <t>Propilenoglicol do e-líquido</t>
        </is>
      </c>
      <c r="B9" s="12" t="n">
        <v>21.85335138</v>
      </c>
      <c r="C9" s="5" t="inlineStr">
        <is>
          <t>Produtos químicos orgânicos</t>
        </is>
      </c>
      <c r="D9" s="5" t="inlineStr">
        <is>
          <t>Fabricação de químicos orgânicos e inorgânicos, resinas e elastômeros</t>
        </is>
      </c>
      <c r="E9" s="11" t="n">
        <v>0.8224822547226676</v>
      </c>
      <c r="F9" s="14">
        <f>B9*E9</f>
        <v/>
      </c>
      <c r="G9" s="11" t="n">
        <v>0.9440640322508532</v>
      </c>
    </row>
    <row r="10">
      <c r="A10" s="5" t="inlineStr">
        <is>
          <t>Aroma do e-líquido</t>
        </is>
      </c>
      <c r="B10" s="12" t="n">
        <v>60.13131871</v>
      </c>
      <c r="C10" s="5" t="inlineStr">
        <is>
          <t>Produtos químicos diversos</t>
        </is>
      </c>
      <c r="D10" s="5" t="inlineStr">
        <is>
          <t>Fabricação de defensivos, desinfestantes, tintas e químicos diversos</t>
        </is>
      </c>
      <c r="E10" s="11" t="n">
        <v>0.4564456546997227</v>
      </c>
      <c r="F10" s="14">
        <f>B10*E10</f>
        <v/>
      </c>
      <c r="G10" s="11" t="n">
        <v>0.6641855299516543</v>
      </c>
    </row>
    <row r="11">
      <c r="A11" s="5" t="inlineStr">
        <is>
          <t>Extração de nicotina além da folha</t>
        </is>
      </c>
      <c r="B11" s="12" t="n">
        <v>27.06678284</v>
      </c>
      <c r="C11" s="5" t="inlineStr">
        <is>
          <t>Produtos químicos diversos</t>
        </is>
      </c>
      <c r="D11" s="5" t="inlineStr">
        <is>
          <t>Fabricação de defensivos, desinfestantes, tintas e químicos diversos</t>
        </is>
      </c>
      <c r="E11" s="11" t="n">
        <v>0.4564456546997227</v>
      </c>
      <c r="F11" s="14">
        <f>B11*E11</f>
        <v/>
      </c>
      <c r="G11" s="11" t="n">
        <v>0.6641855299516541</v>
      </c>
    </row>
    <row r="12">
      <c r="A12" s="5" t="inlineStr">
        <is>
          <t>Embalagem do pod</t>
        </is>
      </c>
      <c r="B12" s="12" t="n">
        <v>54.15089397</v>
      </c>
      <c r="C12" s="5" t="inlineStr">
        <is>
          <t>Papel, papelão, embalagens e artefatos de papel</t>
        </is>
      </c>
      <c r="D12" s="5" t="inlineStr">
        <is>
          <t>Fabricação de celulose, papel e produtos de papel</t>
        </is>
      </c>
      <c r="E12" s="11" t="n">
        <v>0.617695730502885</v>
      </c>
      <c r="F12" s="14">
        <f>B12*E12</f>
        <v/>
      </c>
      <c r="G12" s="11" t="n">
        <v>0.9752179195012435</v>
      </c>
    </row>
    <row r="13">
      <c r="A13" s="5" t="inlineStr">
        <is>
          <t>Químicos do stick</t>
        </is>
      </c>
      <c r="B13" s="12" t="n">
        <v>46.91140776</v>
      </c>
      <c r="C13" s="5" t="inlineStr">
        <is>
          <t>Produtos químicos diversos</t>
        </is>
      </c>
      <c r="D13" s="5" t="inlineStr">
        <is>
          <t>Fabricação de defensivos, desinfestantes, tintas e químicos diversos</t>
        </is>
      </c>
      <c r="E13" s="11" t="n">
        <v>0.4564456546997227</v>
      </c>
      <c r="F13" s="14">
        <f>B13*E13</f>
        <v/>
      </c>
      <c r="G13" s="11" t="n">
        <v>0.6641855299516544</v>
      </c>
    </row>
    <row r="14">
      <c r="A14" s="5" t="inlineStr">
        <is>
          <t>Papel, filtro e embalagem do stick</t>
        </is>
      </c>
      <c r="B14" s="12" t="n">
        <v>1117.4857755</v>
      </c>
      <c r="C14" s="5" t="inlineStr">
        <is>
          <t>Papel, papelão, embalagens e artefatos de papel</t>
        </is>
      </c>
      <c r="D14" s="5" t="inlineStr">
        <is>
          <t>Fabricação de celulose, papel e produtos de papel</t>
        </is>
      </c>
      <c r="E14" s="11" t="n">
        <v>0.617695730502885</v>
      </c>
      <c r="F14" s="14">
        <f>B14*E14</f>
        <v/>
      </c>
      <c r="G14" s="11" t="n">
        <v>0.9752179195012438</v>
      </c>
    </row>
    <row r="15">
      <c r="A15" s="5" t="inlineStr">
        <is>
          <t>Químicos do sachê</t>
        </is>
      </c>
      <c r="B15" s="12" t="n">
        <v>17.8491468</v>
      </c>
      <c r="C15" s="5" t="inlineStr">
        <is>
          <t>Produtos químicos diversos</t>
        </is>
      </c>
      <c r="D15" s="5" t="inlineStr">
        <is>
          <t>Fabricação de defensivos, desinfestantes, tintas e químicos diversos</t>
        </is>
      </c>
      <c r="E15" s="11" t="n">
        <v>0.4564456546997227</v>
      </c>
      <c r="F15" s="14">
        <f>B15*E15</f>
        <v/>
      </c>
      <c r="G15" s="11" t="n">
        <v>0.6641855299516543</v>
      </c>
    </row>
    <row r="16">
      <c r="A16" s="5" t="inlineStr">
        <is>
          <t>Papel e embalagem do sachê</t>
        </is>
      </c>
      <c r="B16" s="12" t="n">
        <v>14.60384738</v>
      </c>
      <c r="C16" s="5" t="inlineStr">
        <is>
          <t>Papel, papelão, embalagens e artefatos de papel</t>
        </is>
      </c>
      <c r="D16" s="5" t="inlineStr">
        <is>
          <t>Fabricação de celulose, papel e produtos de papel</t>
        </is>
      </c>
      <c r="E16" s="11" t="n">
        <v>0.617695730502885</v>
      </c>
      <c r="F16" s="14">
        <f>B16*E16</f>
        <v/>
      </c>
      <c r="G16" s="11" t="n">
        <v>0.9752179195012438</v>
      </c>
    </row>
    <row r="17">
      <c r="A17" s="5" t="inlineStr">
        <is>
          <t>Energia elétrica e combustível</t>
        </is>
      </c>
      <c r="B17" s="12" t="n">
        <v>39.493707243226</v>
      </c>
      <c r="C17" s="5" t="inlineStr">
        <is>
          <t>Eletricidade, gás e outras utilidades</t>
        </is>
      </c>
      <c r="D17" s="5" t="inlineStr">
        <is>
          <t>Energia elétrica, gás natural e outras utilidades</t>
        </is>
      </c>
      <c r="E17" s="11" t="n">
        <v>0.1692155420520603</v>
      </c>
      <c r="F17" s="14">
        <f>B17*E17</f>
        <v/>
      </c>
      <c r="G17" s="11" t="n">
        <v>0.9965078359134105</v>
      </c>
    </row>
    <row r="18">
      <c r="A18" s="5" t="inlineStr">
        <is>
          <t>Água</t>
        </is>
      </c>
      <c r="B18" s="12" t="n">
        <v>1.943911044719</v>
      </c>
      <c r="C18" s="5" t="inlineStr">
        <is>
          <t>Água, esgoto, reciclagem e gestão de resíduos</t>
        </is>
      </c>
      <c r="D18" s="5" t="inlineStr">
        <is>
          <t>Água, esgoto e gestão de resíduos</t>
        </is>
      </c>
      <c r="E18" s="11" t="n">
        <v>0.9952746928588398</v>
      </c>
      <c r="F18" s="14">
        <f>B18*E18</f>
        <v/>
      </c>
      <c r="G18" s="11" t="n">
        <v>0.9999997830517888</v>
      </c>
    </row>
    <row r="19">
      <c r="A19" s="5" t="inlineStr">
        <is>
          <t>Frete interno</t>
        </is>
      </c>
      <c r="B19" s="12" t="n">
        <v>51.5</v>
      </c>
      <c r="C19" s="5" t="inlineStr">
        <is>
          <t>Transporte terrestre de carga</t>
        </is>
      </c>
      <c r="D19" s="5" t="inlineStr">
        <is>
          <t>Transporte terrestre</t>
        </is>
      </c>
      <c r="E19" s="11" t="n">
        <v>0.1693043410587551</v>
      </c>
      <c r="F19" s="14">
        <f>B19*E19</f>
        <v/>
      </c>
      <c r="G19" s="11" t="n">
        <v>0.9936588368840761</v>
      </c>
    </row>
    <row r="20">
      <c r="A20" s="5" t="inlineStr">
        <is>
          <t>Manutenção</t>
        </is>
      </c>
      <c r="B20" s="12" t="n">
        <v>119.33132224</v>
      </c>
      <c r="C20" s="5" t="inlineStr">
        <is>
          <t>Manutenção, reparação e instalação de máquinas e equipamentos</t>
        </is>
      </c>
      <c r="D20" s="5" t="inlineStr">
        <is>
          <t>Manutenção, reparação e instalação de máquinas e equipamentos</t>
        </is>
      </c>
      <c r="E20" s="11" t="n">
        <v>1</v>
      </c>
      <c r="F20" s="14">
        <f>B20*E20</f>
        <v/>
      </c>
      <c r="G20" s="11" t="n">
        <v>0.8752333012838642</v>
      </c>
    </row>
    <row r="21">
      <c r="A21" s="5" t="inlineStr">
        <is>
          <t>Folha no RS</t>
        </is>
      </c>
      <c r="B21" s="14">
        <f>'01_premissas'!B14</f>
        <v/>
      </c>
      <c r="C21" s="5" t="inlineStr">
        <is>
          <t>Âncora do estudo, não a TRU</t>
        </is>
      </c>
      <c r="D21" s="5" t="inlineStr">
        <is>
          <t>Agricultura, inclusive o apoio à agricultura e a pós-colheita</t>
        </is>
      </c>
      <c r="E21" s="15">
        <f>B21/('01_premissas'!B13)</f>
        <v/>
      </c>
      <c r="F21" s="14">
        <f>B21*E21</f>
        <v/>
      </c>
      <c r="G21" s="11" t="n">
        <v>1</v>
      </c>
    </row>
    <row r="22">
      <c r="A22" s="5" t="inlineStr">
        <is>
          <t>Folha em Santa Catarina</t>
        </is>
      </c>
      <c r="B22" s="14">
        <f>'01_premissas'!B15</f>
        <v/>
      </c>
      <c r="C22" s="5" t="inlineStr">
        <is>
          <t>Âncora do estudo, não a TRU</t>
        </is>
      </c>
      <c r="D22" s="5" t="inlineStr">
        <is>
          <t>Agricultura, inclusive o apoio à agricultura e a pós-colheita</t>
        </is>
      </c>
      <c r="E22" s="15">
        <f>B22/('01_premissas'!B13)</f>
        <v/>
      </c>
      <c r="F22" s="14">
        <f>B22*E22</f>
        <v/>
      </c>
      <c r="G22" s="11" t="n">
        <v>1</v>
      </c>
    </row>
    <row r="23">
      <c r="A23" s="5" t="inlineStr">
        <is>
          <t>Folha no Paraná</t>
        </is>
      </c>
      <c r="B23" s="14">
        <f>'01_premissas'!B16</f>
        <v/>
      </c>
      <c r="C23" s="5" t="inlineStr">
        <is>
          <t>Âncora do estudo, não a TRU</t>
        </is>
      </c>
      <c r="D23" s="5" t="inlineStr">
        <is>
          <t>Agricultura, inclusive o apoio à agricultura e a pós-colheita</t>
        </is>
      </c>
      <c r="F23" s="14">
        <f>B23*E23</f>
        <v/>
      </c>
      <c r="G23" s="11" t="n">
        <v>1</v>
      </c>
    </row>
    <row r="24">
      <c r="A24" s="4" t="inlineStr">
        <is>
          <t>Soma</t>
        </is>
      </c>
      <c r="B24" s="13">
        <f>SUM(B7:B23)</f>
        <v/>
      </c>
      <c r="F24" s="13">
        <f>SUM(F7:F23)</f>
        <v/>
      </c>
    </row>
  </sheetData>
  <autoFilter ref="A6:G23"/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8" customWidth="1" min="3" max="3"/>
    <col width="16" customWidth="1" min="4" max="4"/>
    <col width="18" customWidth="1" min="5" max="5"/>
    <col width="18" customWidth="1" min="6" max="6"/>
  </cols>
  <sheetData>
    <row r="1" ht="24" customHeight="1">
      <c r="A1" s="1" t="inlineStr">
        <is>
          <t>Origem por UF — oferta ao consumo intermediário do RS</t>
        </is>
      </c>
    </row>
    <row r="2" ht="18" customHeight="1">
      <c r="A2" s="2" t="inlineStr">
        <is>
          <t>R$ milhões de 2025. Cada linha de produto soma 100% das UFs. A conferência, em R$ milhões, é zero quando a soma iguala o valor da ponte.</t>
        </is>
      </c>
    </row>
    <row r="3" ht="32" customHeight="1">
      <c r="A3" s="2" t="inlineStr">
        <is>
          <t>Chave: TRU Usos, participação de cada UF na oferta do produto às 68 atividades do RS. Folha: âncora, agricultura do RS, de SC e do PR.</t>
        </is>
      </c>
    </row>
    <row r="5">
      <c r="A5" s="4" t="inlineStr">
        <is>
          <t>Conferência da origem, R$ mi</t>
        </is>
      </c>
      <c r="B5" s="16">
        <f>ROUND((E338-'03_ponte'!B24)*1000000,2)</f>
        <v/>
      </c>
      <c r="C5" s="5" t="inlineStr">
        <is>
          <t>Zero se a soma por linha iguala o valor da aba 03.</t>
        </is>
      </c>
    </row>
    <row r="7">
      <c r="A7" s="3" t="inlineStr">
        <is>
          <t>Linha</t>
        </is>
      </c>
      <c r="B7" s="3" t="inlineStr">
        <is>
          <t>Grupo</t>
        </is>
      </c>
      <c r="C7" s="3" t="inlineStr">
        <is>
          <t>UF</t>
        </is>
      </c>
      <c r="D7" s="3" t="inlineStr">
        <is>
          <t>Participação</t>
        </is>
      </c>
      <c r="E7" s="3" t="inlineStr">
        <is>
          <t>Valor (R$ mi)</t>
        </is>
      </c>
      <c r="F7" s="3" t="inlineStr">
        <is>
          <t>Valor 2018 (R$ mi)</t>
        </is>
      </c>
    </row>
    <row r="8">
      <c r="A8" s="5" t="inlineStr">
        <is>
          <t>Dispositivo e eletrônico do pod</t>
        </is>
      </c>
      <c r="B8" s="5" t="inlineStr">
        <is>
          <t>Dispositivo e eletrônico</t>
        </is>
      </c>
      <c r="C8" s="5" t="inlineStr">
        <is>
          <t>RO</t>
        </is>
      </c>
      <c r="D8" s="17" t="n">
        <v>2.119648479442546e-05</v>
      </c>
      <c r="E8" s="18" t="n">
        <v>0.1334258821738312</v>
      </c>
      <c r="F8" s="19">
        <f>E8*phi</f>
        <v/>
      </c>
    </row>
    <row r="9">
      <c r="A9" s="5" t="inlineStr">
        <is>
          <t>Dispositivo e eletrônico do pod</t>
        </is>
      </c>
      <c r="B9" s="5" t="inlineStr">
        <is>
          <t>Dispositivo e eletrônico</t>
        </is>
      </c>
      <c r="C9" s="5" t="inlineStr">
        <is>
          <t>AC</t>
        </is>
      </c>
      <c r="D9" s="17" t="n">
        <v>7.36682678173257e-05</v>
      </c>
      <c r="E9" s="18" t="n">
        <v>0.4637209290631893</v>
      </c>
      <c r="F9" s="19">
        <f>E9*phi</f>
        <v/>
      </c>
    </row>
    <row r="10">
      <c r="A10" s="5" t="inlineStr">
        <is>
          <t>Dispositivo e eletrônico do pod</t>
        </is>
      </c>
      <c r="B10" s="5" t="inlineStr">
        <is>
          <t>Dispositivo e eletrônico</t>
        </is>
      </c>
      <c r="C10" s="5" t="inlineStr">
        <is>
          <t>AM</t>
        </is>
      </c>
      <c r="D10" s="17" t="n">
        <v>0.06584511816753022</v>
      </c>
      <c r="E10" s="18" t="n">
        <v>414.4764126480725</v>
      </c>
      <c r="F10" s="19">
        <f>E10*phi</f>
        <v/>
      </c>
    </row>
    <row r="11">
      <c r="A11" s="5" t="inlineStr">
        <is>
          <t>Dispositivo e eletrônico do pod</t>
        </is>
      </c>
      <c r="B11" s="5" t="inlineStr">
        <is>
          <t>Dispositivo e eletrônico</t>
        </is>
      </c>
      <c r="C11" s="5" t="inlineStr">
        <is>
          <t>RR</t>
        </is>
      </c>
      <c r="D11" s="17" t="n">
        <v>9.10336648271004e-07</v>
      </c>
      <c r="E11" s="18" t="n">
        <v>0.00573031196204152</v>
      </c>
      <c r="F11" s="19">
        <f>E11*phi</f>
        <v/>
      </c>
    </row>
    <row r="12">
      <c r="A12" s="5" t="inlineStr">
        <is>
          <t>Dispositivo e eletrônico do pod</t>
        </is>
      </c>
      <c r="B12" s="5" t="inlineStr">
        <is>
          <t>Dispositivo e eletrônico</t>
        </is>
      </c>
      <c r="C12" s="5" t="inlineStr">
        <is>
          <t>PA</t>
        </is>
      </c>
      <c r="D12" s="17" t="n">
        <v>0.0002845576374226548</v>
      </c>
      <c r="E12" s="18" t="n">
        <v>1.791209918561784</v>
      </c>
      <c r="F12" s="19">
        <f>E12*phi</f>
        <v/>
      </c>
    </row>
    <row r="13">
      <c r="A13" s="5" t="inlineStr">
        <is>
          <t>Dispositivo e eletrônico do pod</t>
        </is>
      </c>
      <c r="B13" s="5" t="inlineStr">
        <is>
          <t>Dispositivo e eletrônico</t>
        </is>
      </c>
      <c r="C13" s="5" t="inlineStr">
        <is>
          <t>AP</t>
        </is>
      </c>
      <c r="D13" s="17" t="n">
        <v>3.375738687666464e-07</v>
      </c>
      <c r="E13" s="18" t="n">
        <v>0.002124932113784661</v>
      </c>
      <c r="F13" s="19">
        <f>E13*phi</f>
        <v/>
      </c>
    </row>
    <row r="14">
      <c r="A14" s="5" t="inlineStr">
        <is>
          <t>Dispositivo e eletrônico do pod</t>
        </is>
      </c>
      <c r="B14" s="5" t="inlineStr">
        <is>
          <t>Dispositivo e eletrônico</t>
        </is>
      </c>
      <c r="C14" s="5" t="inlineStr">
        <is>
          <t>TO</t>
        </is>
      </c>
      <c r="D14" s="17" t="n">
        <v>3.001017923985352e-05</v>
      </c>
      <c r="E14" s="18" t="n">
        <v>0.1889055981737742</v>
      </c>
      <c r="F14" s="19">
        <f>E14*phi</f>
        <v/>
      </c>
    </row>
    <row r="15">
      <c r="A15" s="5" t="inlineStr">
        <is>
          <t>Dispositivo e eletrônico do pod</t>
        </is>
      </c>
      <c r="B15" s="5" t="inlineStr">
        <is>
          <t>Dispositivo e eletrônico</t>
        </is>
      </c>
      <c r="C15" s="5" t="inlineStr">
        <is>
          <t>MA</t>
        </is>
      </c>
      <c r="D15" s="17" t="n">
        <v>5.261493548469852e-07</v>
      </c>
      <c r="E15" s="18" t="n">
        <v>0.003311961511850013</v>
      </c>
      <c r="F15" s="19">
        <f>E15*phi</f>
        <v/>
      </c>
    </row>
    <row r="16">
      <c r="A16" s="5" t="inlineStr">
        <is>
          <t>Dispositivo e eletrônico do pod</t>
        </is>
      </c>
      <c r="B16" s="5" t="inlineStr">
        <is>
          <t>Dispositivo e eletrônico</t>
        </is>
      </c>
      <c r="C16" s="5" t="inlineStr">
        <is>
          <t>PI</t>
        </is>
      </c>
      <c r="D16" s="17" t="n">
        <v>2.416566406346188e-06</v>
      </c>
      <c r="E16" s="18" t="n">
        <v>0.01521160266551287</v>
      </c>
      <c r="F16" s="19">
        <f>E16*phi</f>
        <v/>
      </c>
    </row>
    <row r="17">
      <c r="A17" s="5" t="inlineStr">
        <is>
          <t>Dispositivo e eletrônico do pod</t>
        </is>
      </c>
      <c r="B17" s="5" t="inlineStr">
        <is>
          <t>Dispositivo e eletrônico</t>
        </is>
      </c>
      <c r="C17" s="5" t="inlineStr">
        <is>
          <t>CE</t>
        </is>
      </c>
      <c r="D17" s="17" t="n">
        <v>5.819257282119175e-05</v>
      </c>
      <c r="E17" s="18" t="n">
        <v>0.3663058021146227</v>
      </c>
      <c r="F17" s="19">
        <f>E17*phi</f>
        <v/>
      </c>
    </row>
    <row r="18">
      <c r="A18" s="5" t="inlineStr">
        <is>
          <t>Dispositivo e eletrônico do pod</t>
        </is>
      </c>
      <c r="B18" s="5" t="inlineStr">
        <is>
          <t>Dispositivo e eletrônico</t>
        </is>
      </c>
      <c r="C18" s="5" t="inlineStr">
        <is>
          <t>RN</t>
        </is>
      </c>
      <c r="D18" s="17" t="n">
        <v>6.016789347922977e-05</v>
      </c>
      <c r="E18" s="18" t="n">
        <v>0.3787398874797692</v>
      </c>
      <c r="F18" s="19">
        <f>E18*phi</f>
        <v/>
      </c>
    </row>
    <row r="19">
      <c r="A19" s="5" t="inlineStr">
        <is>
          <t>Dispositivo e eletrônico do pod</t>
        </is>
      </c>
      <c r="B19" s="5" t="inlineStr">
        <is>
          <t>Dispositivo e eletrônico</t>
        </is>
      </c>
      <c r="C19" s="5" t="inlineStr">
        <is>
          <t>PB</t>
        </is>
      </c>
      <c r="D19" s="17" t="n">
        <v>0.0001734056403878325</v>
      </c>
      <c r="E19" s="18" t="n">
        <v>1.091539506057604</v>
      </c>
      <c r="F19" s="19">
        <f>E19*phi</f>
        <v/>
      </c>
    </row>
    <row r="20">
      <c r="A20" s="5" t="inlineStr">
        <is>
          <t>Dispositivo e eletrônico do pod</t>
        </is>
      </c>
      <c r="B20" s="5" t="inlineStr">
        <is>
          <t>Dispositivo e eletrônico</t>
        </is>
      </c>
      <c r="C20" s="5" t="inlineStr">
        <is>
          <t>PE</t>
        </is>
      </c>
      <c r="D20" s="17" t="n">
        <v>0.001445958321025618</v>
      </c>
      <c r="E20" s="18" t="n">
        <v>9.101899038475183</v>
      </c>
      <c r="F20" s="19">
        <f>E20*phi</f>
        <v/>
      </c>
    </row>
    <row r="21">
      <c r="A21" s="5" t="inlineStr">
        <is>
          <t>Dispositivo e eletrônico do pod</t>
        </is>
      </c>
      <c r="B21" s="5" t="inlineStr">
        <is>
          <t>Dispositivo e eletrônico</t>
        </is>
      </c>
      <c r="C21" s="5" t="inlineStr">
        <is>
          <t>AL</t>
        </is>
      </c>
      <c r="D21" s="17" t="n">
        <v>7.243370812033721e-06</v>
      </c>
      <c r="E21" s="18" t="n">
        <v>0.04559497246269581</v>
      </c>
      <c r="F21" s="19">
        <f>E21*phi</f>
        <v/>
      </c>
    </row>
    <row r="22">
      <c r="A22" s="5" t="inlineStr">
        <is>
          <t>Dispositivo e eletrônico do pod</t>
        </is>
      </c>
      <c r="B22" s="5" t="inlineStr">
        <is>
          <t>Dispositivo e eletrônico</t>
        </is>
      </c>
      <c r="C22" s="5" t="inlineStr">
        <is>
          <t>SE</t>
        </is>
      </c>
      <c r="D22" s="17" t="n">
        <v>4.995572392035682e-05</v>
      </c>
      <c r="E22" s="18" t="n">
        <v>0.3144571658154811</v>
      </c>
      <c r="F22" s="19">
        <f>E22*phi</f>
        <v/>
      </c>
    </row>
    <row r="23">
      <c r="A23" s="5" t="inlineStr">
        <is>
          <t>Dispositivo e eletrônico do pod</t>
        </is>
      </c>
      <c r="B23" s="5" t="inlineStr">
        <is>
          <t>Dispositivo e eletrônico</t>
        </is>
      </c>
      <c r="C23" s="5" t="inlineStr">
        <is>
          <t>BA</t>
        </is>
      </c>
      <c r="D23" s="17" t="n">
        <v>0.01629182246383923</v>
      </c>
      <c r="E23" s="18" t="n">
        <v>102.5524187401522</v>
      </c>
      <c r="F23" s="19">
        <f>E23*phi</f>
        <v/>
      </c>
    </row>
    <row r="24">
      <c r="A24" s="5" t="inlineStr">
        <is>
          <t>Dispositivo e eletrônico do pod</t>
        </is>
      </c>
      <c r="B24" s="5" t="inlineStr">
        <is>
          <t>Dispositivo e eletrônico</t>
        </is>
      </c>
      <c r="C24" s="5" t="inlineStr">
        <is>
          <t>MG</t>
        </is>
      </c>
      <c r="D24" s="17" t="n">
        <v>0.03146239728511348</v>
      </c>
      <c r="E24" s="18" t="n">
        <v>198.04690040746</v>
      </c>
      <c r="F24" s="19">
        <f>E24*phi</f>
        <v/>
      </c>
    </row>
    <row r="25">
      <c r="A25" s="5" t="inlineStr">
        <is>
          <t>Dispositivo e eletrônico do pod</t>
        </is>
      </c>
      <c r="B25" s="5" t="inlineStr">
        <is>
          <t>Dispositivo e eletrônico</t>
        </is>
      </c>
      <c r="C25" s="5" t="inlineStr">
        <is>
          <t>ES</t>
        </is>
      </c>
      <c r="D25" s="17" t="n">
        <v>0.01072697011570286</v>
      </c>
      <c r="E25" s="18" t="n">
        <v>67.52324569951284</v>
      </c>
      <c r="F25" s="19">
        <f>E25*phi</f>
        <v/>
      </c>
    </row>
    <row r="26">
      <c r="A26" s="5" t="inlineStr">
        <is>
          <t>Dispositivo e eletrônico do pod</t>
        </is>
      </c>
      <c r="B26" s="5" t="inlineStr">
        <is>
          <t>Dispositivo e eletrônico</t>
        </is>
      </c>
      <c r="C26" s="5" t="inlineStr">
        <is>
          <t>RJ</t>
        </is>
      </c>
      <c r="D26" s="17" t="n">
        <v>0.02780334413596755</v>
      </c>
      <c r="E26" s="18" t="n">
        <v>175.0141947923229</v>
      </c>
      <c r="F26" s="19">
        <f>E26*phi</f>
        <v/>
      </c>
    </row>
    <row r="27">
      <c r="A27" s="5" t="inlineStr">
        <is>
          <t>Dispositivo e eletrônico do pod</t>
        </is>
      </c>
      <c r="B27" s="5" t="inlineStr">
        <is>
          <t>Dispositivo e eletrônico</t>
        </is>
      </c>
      <c r="C27" s="5" t="inlineStr">
        <is>
          <t>SP</t>
        </is>
      </c>
      <c r="D27" s="17" t="n">
        <v>0.1402723106428186</v>
      </c>
      <c r="E27" s="18" t="n">
        <v>882.9745579796302</v>
      </c>
      <c r="F27" s="19">
        <f>E27*phi</f>
        <v/>
      </c>
    </row>
    <row r="28">
      <c r="A28" s="5" t="inlineStr">
        <is>
          <t>Dispositivo e eletrônico do pod</t>
        </is>
      </c>
      <c r="B28" s="5" t="inlineStr">
        <is>
          <t>Dispositivo e eletrônico</t>
        </is>
      </c>
      <c r="C28" s="5" t="inlineStr">
        <is>
          <t>PR</t>
        </is>
      </c>
      <c r="D28" s="17" t="n">
        <v>0.2571533801633875</v>
      </c>
      <c r="E28" s="18" t="n">
        <v>1618.70786288612</v>
      </c>
      <c r="F28" s="19">
        <f>E28*phi</f>
        <v/>
      </c>
    </row>
    <row r="29">
      <c r="A29" s="5" t="inlineStr">
        <is>
          <t>Dispositivo e eletrônico do pod</t>
        </is>
      </c>
      <c r="B29" s="5" t="inlineStr">
        <is>
          <t>Dispositivo e eletrônico</t>
        </is>
      </c>
      <c r="C29" s="5" t="inlineStr">
        <is>
          <t>SC</t>
        </is>
      </c>
      <c r="D29" s="17" t="n">
        <v>0.03779456496860034</v>
      </c>
      <c r="E29" s="18" t="n">
        <v>237.9061066596238</v>
      </c>
      <c r="F29" s="19">
        <f>E29*phi</f>
        <v/>
      </c>
    </row>
    <row r="30">
      <c r="A30" s="5" t="inlineStr">
        <is>
          <t>Dispositivo e eletrônico do pod</t>
        </is>
      </c>
      <c r="B30" s="5" t="inlineStr">
        <is>
          <t>Dispositivo e eletrônico</t>
        </is>
      </c>
      <c r="C30" s="5" t="inlineStr">
        <is>
          <t>RS</t>
        </is>
      </c>
      <c r="D30" s="17" t="n">
        <v>0.4050311433439001</v>
      </c>
      <c r="E30" s="18" t="n">
        <v>2549.556595476055</v>
      </c>
      <c r="F30" s="19">
        <f>E30*phi</f>
        <v/>
      </c>
    </row>
    <row r="31">
      <c r="A31" s="5" t="inlineStr">
        <is>
          <t>Dispositivo e eletrônico do pod</t>
        </is>
      </c>
      <c r="B31" s="5" t="inlineStr">
        <is>
          <t>Dispositivo e eletrônico</t>
        </is>
      </c>
      <c r="C31" s="5" t="inlineStr">
        <is>
          <t>MS</t>
        </is>
      </c>
      <c r="D31" s="17" t="n">
        <v>6.877107571220624e-05</v>
      </c>
      <c r="E31" s="18" t="n">
        <v>0.4328944885879211</v>
      </c>
      <c r="F31" s="19">
        <f>E31*phi</f>
        <v/>
      </c>
    </row>
    <row r="32">
      <c r="A32" s="5" t="inlineStr">
        <is>
          <t>Dispositivo e eletrônico do pod</t>
        </is>
      </c>
      <c r="B32" s="5" t="inlineStr">
        <is>
          <t>Dispositivo e eletrônico</t>
        </is>
      </c>
      <c r="C32" s="5" t="inlineStr">
        <is>
          <t>MT</t>
        </is>
      </c>
      <c r="D32" s="17" t="n">
        <v>1.767926796881556e-05</v>
      </c>
      <c r="E32" s="18" t="n">
        <v>0.1112859961358849</v>
      </c>
      <c r="F32" s="19">
        <f>E32*phi</f>
        <v/>
      </c>
    </row>
    <row r="33">
      <c r="A33" s="5" t="inlineStr">
        <is>
          <t>Dispositivo e eletrônico do pod</t>
        </is>
      </c>
      <c r="B33" s="5" t="inlineStr">
        <is>
          <t>Dispositivo e eletrônico</t>
        </is>
      </c>
      <c r="C33" s="5" t="inlineStr">
        <is>
          <t>GO</t>
        </is>
      </c>
      <c r="D33" s="17" t="n">
        <v>0.003446767704685686</v>
      </c>
      <c r="E33" s="18" t="n">
        <v>21.69642872892333</v>
      </c>
      <c r="F33" s="19">
        <f>E33*phi</f>
        <v/>
      </c>
    </row>
    <row r="34">
      <c r="A34" s="5" t="inlineStr">
        <is>
          <t>Dispositivo e eletrônico do pod</t>
        </is>
      </c>
      <c r="B34" s="5" t="inlineStr">
        <is>
          <t>Dispositivo e eletrônico</t>
        </is>
      </c>
      <c r="C34" s="5" t="inlineStr">
        <is>
          <t>DF</t>
        </is>
      </c>
      <c r="D34" s="17" t="n">
        <v>0.001877183946774612</v>
      </c>
      <c r="E34" s="18" t="n">
        <v>11.8163424987726</v>
      </c>
      <c r="F34" s="19">
        <f>E34*phi</f>
        <v/>
      </c>
    </row>
    <row r="35">
      <c r="A35" s="5" t="inlineStr">
        <is>
          <t>Glicerina vegetal do e-líquido</t>
        </is>
      </c>
      <c r="B35" s="5" t="inlineStr">
        <is>
          <t>Químicos</t>
        </is>
      </c>
      <c r="C35" s="5" t="inlineStr">
        <is>
          <t>RO</t>
        </is>
      </c>
      <c r="D35" s="17" t="n">
        <v>3.660558235182618e-08</v>
      </c>
      <c r="E35" s="18" t="n">
        <v>6.856754173748436e-07</v>
      </c>
      <c r="F35" s="19">
        <f>E35*phi</f>
        <v/>
      </c>
    </row>
    <row r="36">
      <c r="A36" s="5" t="inlineStr">
        <is>
          <t>Glicerina vegetal do e-líquido</t>
        </is>
      </c>
      <c r="B36" s="5" t="inlineStr">
        <is>
          <t>Químicos</t>
        </is>
      </c>
      <c r="C36" s="5" t="inlineStr">
        <is>
          <t>AM</t>
        </is>
      </c>
      <c r="D36" s="17" t="n">
        <v>3.837653311474864e-05</v>
      </c>
      <c r="E36" s="18" t="n">
        <v>0.000718847882488121</v>
      </c>
      <c r="F36" s="19">
        <f>E36*phi</f>
        <v/>
      </c>
    </row>
    <row r="37">
      <c r="A37" s="5" t="inlineStr">
        <is>
          <t>Glicerina vegetal do e-líquido</t>
        </is>
      </c>
      <c r="B37" s="5" t="inlineStr">
        <is>
          <t>Químicos</t>
        </is>
      </c>
      <c r="C37" s="5" t="inlineStr">
        <is>
          <t>RR</t>
        </is>
      </c>
      <c r="D37" s="17" t="n">
        <v>2.736176030771229e-10</v>
      </c>
      <c r="E37" s="18" t="n">
        <v>5.12525282039806e-09</v>
      </c>
      <c r="F37" s="19">
        <f>E37*phi</f>
        <v/>
      </c>
    </row>
    <row r="38">
      <c r="A38" s="5" t="inlineStr">
        <is>
          <t>Glicerina vegetal do e-líquido</t>
        </is>
      </c>
      <c r="B38" s="5" t="inlineStr">
        <is>
          <t>Químicos</t>
        </is>
      </c>
      <c r="C38" s="5" t="inlineStr">
        <is>
          <t>PA</t>
        </is>
      </c>
      <c r="D38" s="17" t="n">
        <v>3.097184896245262e-06</v>
      </c>
      <c r="E38" s="18" t="n">
        <v>5.801474556555133e-05</v>
      </c>
      <c r="F38" s="19">
        <f>E38*phi</f>
        <v/>
      </c>
    </row>
    <row r="39">
      <c r="A39" s="5" t="inlineStr">
        <is>
          <t>Glicerina vegetal do e-líquido</t>
        </is>
      </c>
      <c r="B39" s="5" t="inlineStr">
        <is>
          <t>Químicos</t>
        </is>
      </c>
      <c r="C39" s="5" t="inlineStr">
        <is>
          <t>AP</t>
        </is>
      </c>
      <c r="D39" s="17" t="n">
        <v>8.490720890779979e-09</v>
      </c>
      <c r="E39" s="18" t="n">
        <v>1.590434632249041e-07</v>
      </c>
      <c r="F39" s="19">
        <f>E39*phi</f>
        <v/>
      </c>
    </row>
    <row r="40">
      <c r="A40" s="5" t="inlineStr">
        <is>
          <t>Glicerina vegetal do e-líquido</t>
        </is>
      </c>
      <c r="B40" s="5" t="inlineStr">
        <is>
          <t>Químicos</t>
        </is>
      </c>
      <c r="C40" s="5" t="inlineStr">
        <is>
          <t>TO</t>
        </is>
      </c>
      <c r="D40" s="17" t="n">
        <v>1.805098939765419e-05</v>
      </c>
      <c r="E40" s="18" t="n">
        <v>0.0003381210977687928</v>
      </c>
      <c r="F40" s="19">
        <f>E40*phi</f>
        <v/>
      </c>
    </row>
    <row r="41">
      <c r="A41" s="5" t="inlineStr">
        <is>
          <t>Glicerina vegetal do e-líquido</t>
        </is>
      </c>
      <c r="B41" s="5" t="inlineStr">
        <is>
          <t>Químicos</t>
        </is>
      </c>
      <c r="C41" s="5" t="inlineStr">
        <is>
          <t>MA</t>
        </is>
      </c>
      <c r="D41" s="17" t="n">
        <v>1.552441437780607e-05</v>
      </c>
      <c r="E41" s="18" t="n">
        <v>0.0002907946991716459</v>
      </c>
      <c r="F41" s="19">
        <f>E41*phi</f>
        <v/>
      </c>
    </row>
    <row r="42">
      <c r="A42" s="5" t="inlineStr">
        <is>
          <t>Glicerina vegetal do e-líquido</t>
        </is>
      </c>
      <c r="B42" s="5" t="inlineStr">
        <is>
          <t>Químicos</t>
        </is>
      </c>
      <c r="C42" s="5" t="inlineStr">
        <is>
          <t>PI</t>
        </is>
      </c>
      <c r="D42" s="17" t="n">
        <v>1.510904380295457e-06</v>
      </c>
      <c r="E42" s="18" t="n">
        <v>2.830142084929523e-05</v>
      </c>
      <c r="F42" s="19">
        <f>E42*phi</f>
        <v/>
      </c>
    </row>
    <row r="43">
      <c r="A43" s="5" t="inlineStr">
        <is>
          <t>Glicerina vegetal do e-líquido</t>
        </is>
      </c>
      <c r="B43" s="5" t="inlineStr">
        <is>
          <t>Químicos</t>
        </is>
      </c>
      <c r="C43" s="5" t="inlineStr">
        <is>
          <t>CE</t>
        </is>
      </c>
      <c r="D43" s="17" t="n">
        <v>0.0005538832644187451</v>
      </c>
      <c r="E43" s="18" t="n">
        <v>0.01037503337215225</v>
      </c>
      <c r="F43" s="19">
        <f>E43*phi</f>
        <v/>
      </c>
    </row>
    <row r="44">
      <c r="A44" s="5" t="inlineStr">
        <is>
          <t>Glicerina vegetal do e-líquido</t>
        </is>
      </c>
      <c r="B44" s="5" t="inlineStr">
        <is>
          <t>Químicos</t>
        </is>
      </c>
      <c r="C44" s="5" t="inlineStr">
        <is>
          <t>RN</t>
        </is>
      </c>
      <c r="D44" s="17" t="n">
        <v>1.369072931555163e-08</v>
      </c>
      <c r="E44" s="18" t="n">
        <v>2.564471300410429e-07</v>
      </c>
      <c r="F44" s="19">
        <f>E44*phi</f>
        <v/>
      </c>
    </row>
    <row r="45">
      <c r="A45" s="5" t="inlineStr">
        <is>
          <t>Glicerina vegetal do e-líquido</t>
        </is>
      </c>
      <c r="B45" s="5" t="inlineStr">
        <is>
          <t>Químicos</t>
        </is>
      </c>
      <c r="C45" s="5" t="inlineStr">
        <is>
          <t>PB</t>
        </is>
      </c>
      <c r="D45" s="17" t="n">
        <v>5.470807321858061e-07</v>
      </c>
      <c r="E45" s="18" t="n">
        <v>1.024761212030065e-05</v>
      </c>
      <c r="F45" s="19">
        <f>E45*phi</f>
        <v/>
      </c>
    </row>
    <row r="46">
      <c r="A46" s="5" t="inlineStr">
        <is>
          <t>Glicerina vegetal do e-líquido</t>
        </is>
      </c>
      <c r="B46" s="5" t="inlineStr">
        <is>
          <t>Químicos</t>
        </is>
      </c>
      <c r="C46" s="5" t="inlineStr">
        <is>
          <t>PE</t>
        </is>
      </c>
      <c r="D46" s="17" t="n">
        <v>1.480735633334572e-06</v>
      </c>
      <c r="E46" s="18" t="n">
        <v>2.77363166538405e-05</v>
      </c>
      <c r="F46" s="19">
        <f>E46*phi</f>
        <v/>
      </c>
    </row>
    <row r="47">
      <c r="A47" s="5" t="inlineStr">
        <is>
          <t>Glicerina vegetal do e-líquido</t>
        </is>
      </c>
      <c r="B47" s="5" t="inlineStr">
        <is>
          <t>Químicos</t>
        </is>
      </c>
      <c r="C47" s="5" t="inlineStr">
        <is>
          <t>AL</t>
        </is>
      </c>
      <c r="D47" s="17" t="n">
        <v>6.369143213100645e-06</v>
      </c>
      <c r="E47" s="18" t="n">
        <v>0.0001193032496789405</v>
      </c>
      <c r="F47" s="19">
        <f>E47*phi</f>
        <v/>
      </c>
    </row>
    <row r="48">
      <c r="A48" s="5" t="inlineStr">
        <is>
          <t>Glicerina vegetal do e-líquido</t>
        </is>
      </c>
      <c r="B48" s="5" t="inlineStr">
        <is>
          <t>Químicos</t>
        </is>
      </c>
      <c r="C48" s="5" t="inlineStr">
        <is>
          <t>SE</t>
        </is>
      </c>
      <c r="D48" s="17" t="n">
        <v>5.574666116278205e-05</v>
      </c>
      <c r="E48" s="18" t="n">
        <v>0.001044215463987493</v>
      </c>
      <c r="F48" s="19">
        <f>E48*phi</f>
        <v/>
      </c>
    </row>
    <row r="49">
      <c r="A49" s="5" t="inlineStr">
        <is>
          <t>Glicerina vegetal do e-líquido</t>
        </is>
      </c>
      <c r="B49" s="5" t="inlineStr">
        <is>
          <t>Químicos</t>
        </is>
      </c>
      <c r="C49" s="5" t="inlineStr">
        <is>
          <t>BA</t>
        </is>
      </c>
      <c r="D49" s="17" t="n">
        <v>0.00400378390385458</v>
      </c>
      <c r="E49" s="18" t="n">
        <v>0.07499665414330479</v>
      </c>
      <c r="F49" s="19">
        <f>E49*phi</f>
        <v/>
      </c>
    </row>
    <row r="50">
      <c r="A50" s="5" t="inlineStr">
        <is>
          <t>Glicerina vegetal do e-líquido</t>
        </is>
      </c>
      <c r="B50" s="5" t="inlineStr">
        <is>
          <t>Químicos</t>
        </is>
      </c>
      <c r="C50" s="5" t="inlineStr">
        <is>
          <t>MG</t>
        </is>
      </c>
      <c r="D50" s="17" t="n">
        <v>0.0006020651122776087</v>
      </c>
      <c r="E50" s="18" t="n">
        <v>0.01127754895906434</v>
      </c>
      <c r="F50" s="19">
        <f>E50*phi</f>
        <v/>
      </c>
    </row>
    <row r="51">
      <c r="A51" s="5" t="inlineStr">
        <is>
          <t>Glicerina vegetal do e-líquido</t>
        </is>
      </c>
      <c r="B51" s="5" t="inlineStr">
        <is>
          <t>Químicos</t>
        </is>
      </c>
      <c r="C51" s="5" t="inlineStr">
        <is>
          <t>ES</t>
        </is>
      </c>
      <c r="D51" s="17" t="n">
        <v>8.422178731268746e-05</v>
      </c>
      <c r="E51" s="18" t="n">
        <v>0.001577595695996387</v>
      </c>
      <c r="F51" s="19">
        <f>E51*phi</f>
        <v/>
      </c>
    </row>
    <row r="52">
      <c r="A52" s="5" t="inlineStr">
        <is>
          <t>Glicerina vegetal do e-líquido</t>
        </is>
      </c>
      <c r="B52" s="5" t="inlineStr">
        <is>
          <t>Químicos</t>
        </is>
      </c>
      <c r="C52" s="5" t="inlineStr">
        <is>
          <t>RJ</t>
        </is>
      </c>
      <c r="D52" s="17" t="n">
        <v>0.00635208945576083</v>
      </c>
      <c r="E52" s="18" t="n">
        <v>0.118983808177658</v>
      </c>
      <c r="F52" s="19">
        <f>E52*phi</f>
        <v/>
      </c>
    </row>
    <row r="53">
      <c r="A53" s="5" t="inlineStr">
        <is>
          <t>Glicerina vegetal do e-líquido</t>
        </is>
      </c>
      <c r="B53" s="5" t="inlineStr">
        <is>
          <t>Químicos</t>
        </is>
      </c>
      <c r="C53" s="5" t="inlineStr">
        <is>
          <t>SP</t>
        </is>
      </c>
      <c r="D53" s="17" t="n">
        <v>0.1213005382890326</v>
      </c>
      <c r="E53" s="18" t="n">
        <v>2.272134244982891</v>
      </c>
      <c r="F53" s="19">
        <f>E53*phi</f>
        <v/>
      </c>
    </row>
    <row r="54">
      <c r="A54" s="5" t="inlineStr">
        <is>
          <t>Glicerina vegetal do e-líquido</t>
        </is>
      </c>
      <c r="B54" s="5" t="inlineStr">
        <is>
          <t>Químicos</t>
        </is>
      </c>
      <c r="C54" s="5" t="inlineStr">
        <is>
          <t>PR</t>
        </is>
      </c>
      <c r="D54" s="17" t="n">
        <v>0.02645615083900733</v>
      </c>
      <c r="E54" s="18" t="n">
        <v>0.4955619089546649</v>
      </c>
      <c r="F54" s="19">
        <f>E54*phi</f>
        <v/>
      </c>
    </row>
    <row r="55">
      <c r="A55" s="5" t="inlineStr">
        <is>
          <t>Glicerina vegetal do e-líquido</t>
        </is>
      </c>
      <c r="B55" s="5" t="inlineStr">
        <is>
          <t>Químicos</t>
        </is>
      </c>
      <c r="C55" s="5" t="inlineStr">
        <is>
          <t>SC</t>
        </is>
      </c>
      <c r="D55" s="17" t="n">
        <v>0.0169134237728875</v>
      </c>
      <c r="E55" s="18" t="n">
        <v>0.316812850926648</v>
      </c>
      <c r="F55" s="19">
        <f>E55*phi</f>
        <v/>
      </c>
    </row>
    <row r="56">
      <c r="A56" s="5" t="inlineStr">
        <is>
          <t>Glicerina vegetal do e-líquido</t>
        </is>
      </c>
      <c r="B56" s="5" t="inlineStr">
        <is>
          <t>Químicos</t>
        </is>
      </c>
      <c r="C56" s="5" t="inlineStr">
        <is>
          <t>RS</t>
        </is>
      </c>
      <c r="D56" s="17" t="n">
        <v>0.8224822547226676</v>
      </c>
      <c r="E56" s="18" t="n">
        <v>15.40628032823067</v>
      </c>
      <c r="F56" s="19">
        <f>E56*phi</f>
        <v/>
      </c>
    </row>
    <row r="57">
      <c r="A57" s="5" t="inlineStr">
        <is>
          <t>Glicerina vegetal do e-líquido</t>
        </is>
      </c>
      <c r="B57" s="5" t="inlineStr">
        <is>
          <t>Químicos</t>
        </is>
      </c>
      <c r="C57" s="5" t="inlineStr">
        <is>
          <t>MS</t>
        </is>
      </c>
      <c r="D57" s="17" t="n">
        <v>6.530484833243358e-05</v>
      </c>
      <c r="E57" s="18" t="n">
        <v>0.001223254112079667</v>
      </c>
      <c r="F57" s="19">
        <f>E57*phi</f>
        <v/>
      </c>
    </row>
    <row r="58">
      <c r="A58" s="5" t="inlineStr">
        <is>
          <t>Glicerina vegetal do e-líquido</t>
        </is>
      </c>
      <c r="B58" s="5" t="inlineStr">
        <is>
          <t>Químicos</t>
        </is>
      </c>
      <c r="C58" s="5" t="inlineStr">
        <is>
          <t>MT</t>
        </is>
      </c>
      <c r="D58" s="17" t="n">
        <v>6.176255887145288e-06</v>
      </c>
      <c r="E58" s="18" t="n">
        <v>0.0001156901915267825</v>
      </c>
      <c r="F58" s="19">
        <f>E58*phi</f>
        <v/>
      </c>
    </row>
    <row r="59">
      <c r="A59" s="5" t="inlineStr">
        <is>
          <t>Glicerina vegetal do e-líquido</t>
        </is>
      </c>
      <c r="B59" s="5" t="inlineStr">
        <is>
          <t>Químicos</t>
        </is>
      </c>
      <c r="C59" s="5" t="inlineStr">
        <is>
          <t>GO</t>
        </is>
      </c>
      <c r="D59" s="17" t="n">
        <v>0.001037268884167196</v>
      </c>
      <c r="E59" s="18" t="n">
        <v>0.01942954405821107</v>
      </c>
      <c r="F59" s="19">
        <f>E59*phi</f>
        <v/>
      </c>
    </row>
    <row r="60">
      <c r="A60" s="5" t="inlineStr">
        <is>
          <t>Glicerina vegetal do e-líquido</t>
        </is>
      </c>
      <c r="B60" s="5" t="inlineStr">
        <is>
          <t>Químicos</t>
        </is>
      </c>
      <c r="C60" s="5" t="inlineStr">
        <is>
          <t>DF</t>
        </is>
      </c>
      <c r="D60" s="17" t="n">
        <v>2.076156835526306e-06</v>
      </c>
      <c r="E60" s="18" t="n">
        <v>3.888941558292449e-05</v>
      </c>
      <c r="F60" s="19">
        <f>E60*phi</f>
        <v/>
      </c>
    </row>
    <row r="61">
      <c r="A61" s="5" t="inlineStr">
        <is>
          <t>Propilenoglicol do e-líquido</t>
        </is>
      </c>
      <c r="B61" s="5" t="inlineStr">
        <is>
          <t>Químicos</t>
        </is>
      </c>
      <c r="C61" s="5" t="inlineStr">
        <is>
          <t>RO</t>
        </is>
      </c>
      <c r="D61" s="17" t="n">
        <v>3.660558235182618e-08</v>
      </c>
      <c r="E61" s="18" t="n">
        <v>7.999546536039842e-07</v>
      </c>
      <c r="F61" s="19">
        <f>E61*phi</f>
        <v/>
      </c>
    </row>
    <row r="62">
      <c r="A62" s="5" t="inlineStr">
        <is>
          <t>Propilenoglicol do e-líquido</t>
        </is>
      </c>
      <c r="B62" s="5" t="inlineStr">
        <is>
          <t>Químicos</t>
        </is>
      </c>
      <c r="C62" s="5" t="inlineStr">
        <is>
          <t>AM</t>
        </is>
      </c>
      <c r="D62" s="17" t="n">
        <v>3.837653311474864e-05</v>
      </c>
      <c r="E62" s="18" t="n">
        <v>0.0008386558629028077</v>
      </c>
      <c r="F62" s="19">
        <f>E62*phi</f>
        <v/>
      </c>
    </row>
    <row r="63">
      <c r="A63" s="5" t="inlineStr">
        <is>
          <t>Propilenoglicol do e-líquido</t>
        </is>
      </c>
      <c r="B63" s="5" t="inlineStr">
        <is>
          <t>Químicos</t>
        </is>
      </c>
      <c r="C63" s="5" t="inlineStr">
        <is>
          <t>RR</t>
        </is>
      </c>
      <c r="D63" s="17" t="n">
        <v>2.736176030771229e-10</v>
      </c>
      <c r="E63" s="18" t="n">
        <v>5.979461623797736e-09</v>
      </c>
      <c r="F63" s="19">
        <f>E63*phi</f>
        <v/>
      </c>
    </row>
    <row r="64">
      <c r="A64" s="5" t="inlineStr">
        <is>
          <t>Propilenoglicol do e-líquido</t>
        </is>
      </c>
      <c r="B64" s="5" t="inlineStr">
        <is>
          <t>Químicos</t>
        </is>
      </c>
      <c r="C64" s="5" t="inlineStr">
        <is>
          <t>PA</t>
        </is>
      </c>
      <c r="D64" s="17" t="n">
        <v>3.097184896245262e-06</v>
      </c>
      <c r="E64" s="18" t="n">
        <v>6.768386982647655e-05</v>
      </c>
      <c r="F64" s="19">
        <f>E64*phi</f>
        <v/>
      </c>
    </row>
    <row r="65">
      <c r="A65" s="5" t="inlineStr">
        <is>
          <t>Propilenoglicol do e-líquido</t>
        </is>
      </c>
      <c r="B65" s="5" t="inlineStr">
        <is>
          <t>Químicos</t>
        </is>
      </c>
      <c r="C65" s="5" t="inlineStr">
        <is>
          <t>AP</t>
        </is>
      </c>
      <c r="D65" s="17" t="n">
        <v>8.490720890779979e-09</v>
      </c>
      <c r="E65" s="18" t="n">
        <v>1.855507070957215e-07</v>
      </c>
      <c r="F65" s="19">
        <f>E65*phi</f>
        <v/>
      </c>
    </row>
    <row r="66">
      <c r="A66" s="5" t="inlineStr">
        <is>
          <t>Propilenoglicol do e-líquido</t>
        </is>
      </c>
      <c r="B66" s="5" t="inlineStr">
        <is>
          <t>Químicos</t>
        </is>
      </c>
      <c r="C66" s="5" t="inlineStr">
        <is>
          <t>TO</t>
        </is>
      </c>
      <c r="D66" s="17" t="n">
        <v>1.805098939765419e-05</v>
      </c>
      <c r="E66" s="18" t="n">
        <v>0.0003944746140635916</v>
      </c>
      <c r="F66" s="19">
        <f>E66*phi</f>
        <v/>
      </c>
    </row>
    <row r="67">
      <c r="A67" s="5" t="inlineStr">
        <is>
          <t>Propilenoglicol do e-líquido</t>
        </is>
      </c>
      <c r="B67" s="5" t="inlineStr">
        <is>
          <t>Químicos</t>
        </is>
      </c>
      <c r="C67" s="5" t="inlineStr">
        <is>
          <t>MA</t>
        </is>
      </c>
      <c r="D67" s="17" t="n">
        <v>1.552441437780607e-05</v>
      </c>
      <c r="E67" s="18" t="n">
        <v>0.0003392604823669201</v>
      </c>
      <c r="F67" s="19">
        <f>E67*phi</f>
        <v/>
      </c>
    </row>
    <row r="68">
      <c r="A68" s="5" t="inlineStr">
        <is>
          <t>Propilenoglicol do e-líquido</t>
        </is>
      </c>
      <c r="B68" s="5" t="inlineStr">
        <is>
          <t>Químicos</t>
        </is>
      </c>
      <c r="C68" s="5" t="inlineStr">
        <is>
          <t>PI</t>
        </is>
      </c>
      <c r="D68" s="17" t="n">
        <v>1.510904380295457e-06</v>
      </c>
      <c r="E68" s="18" t="n">
        <v>3.301832432417777e-05</v>
      </c>
      <c r="F68" s="19">
        <f>E68*phi</f>
        <v/>
      </c>
    </row>
    <row r="69">
      <c r="A69" s="5" t="inlineStr">
        <is>
          <t>Propilenoglicol do e-líquido</t>
        </is>
      </c>
      <c r="B69" s="5" t="inlineStr">
        <is>
          <t>Químicos</t>
        </is>
      </c>
      <c r="C69" s="5" t="inlineStr">
        <is>
          <t>CE</t>
        </is>
      </c>
      <c r="D69" s="17" t="n">
        <v>0.0005538832644187451</v>
      </c>
      <c r="E69" s="18" t="n">
        <v>0.01210420560084429</v>
      </c>
      <c r="F69" s="19">
        <f>E69*phi</f>
        <v/>
      </c>
    </row>
    <row r="70">
      <c r="A70" s="5" t="inlineStr">
        <is>
          <t>Propilenoglicol do e-líquido</t>
        </is>
      </c>
      <c r="B70" s="5" t="inlineStr">
        <is>
          <t>Químicos</t>
        </is>
      </c>
      <c r="C70" s="5" t="inlineStr">
        <is>
          <t>RN</t>
        </is>
      </c>
      <c r="D70" s="17" t="n">
        <v>1.369072931555163e-08</v>
      </c>
      <c r="E70" s="18" t="n">
        <v>2.991883183812167e-07</v>
      </c>
      <c r="F70" s="19">
        <f>E70*phi</f>
        <v/>
      </c>
    </row>
    <row r="71">
      <c r="A71" s="5" t="inlineStr">
        <is>
          <t>Propilenoglicol do e-líquido</t>
        </is>
      </c>
      <c r="B71" s="5" t="inlineStr">
        <is>
          <t>Químicos</t>
        </is>
      </c>
      <c r="C71" s="5" t="inlineStr">
        <is>
          <t>PB</t>
        </is>
      </c>
      <c r="D71" s="17" t="n">
        <v>5.470807321858061e-07</v>
      </c>
      <c r="E71" s="18" t="n">
        <v>1.19555474736841e-05</v>
      </c>
      <c r="F71" s="19">
        <f>E71*phi</f>
        <v/>
      </c>
    </row>
    <row r="72">
      <c r="A72" s="5" t="inlineStr">
        <is>
          <t>Propilenoglicol do e-líquido</t>
        </is>
      </c>
      <c r="B72" s="5" t="inlineStr">
        <is>
          <t>Químicos</t>
        </is>
      </c>
      <c r="C72" s="5" t="inlineStr">
        <is>
          <t>PE</t>
        </is>
      </c>
      <c r="D72" s="17" t="n">
        <v>1.480735633334572e-06</v>
      </c>
      <c r="E72" s="18" t="n">
        <v>3.235903609614725e-05</v>
      </c>
      <c r="F72" s="19">
        <f>E72*phi</f>
        <v/>
      </c>
    </row>
    <row r="73">
      <c r="A73" s="5" t="inlineStr">
        <is>
          <t>Propilenoglicol do e-líquido</t>
        </is>
      </c>
      <c r="B73" s="5" t="inlineStr">
        <is>
          <t>Químicos</t>
        </is>
      </c>
      <c r="C73" s="5" t="inlineStr">
        <is>
          <t>AL</t>
        </is>
      </c>
      <c r="D73" s="17" t="n">
        <v>6.369143213100645e-06</v>
      </c>
      <c r="E73" s="18" t="n">
        <v>0.0001391871246254306</v>
      </c>
      <c r="F73" s="19">
        <f>E73*phi</f>
        <v/>
      </c>
    </row>
    <row r="74">
      <c r="A74" s="5" t="inlineStr">
        <is>
          <t>Propilenoglicol do e-líquido</t>
        </is>
      </c>
      <c r="B74" s="5" t="inlineStr">
        <is>
          <t>Químicos</t>
        </is>
      </c>
      <c r="C74" s="5" t="inlineStr">
        <is>
          <t>SE</t>
        </is>
      </c>
      <c r="D74" s="17" t="n">
        <v>5.574666116278205e-05</v>
      </c>
      <c r="E74" s="18" t="n">
        <v>0.001218251374652075</v>
      </c>
      <c r="F74" s="19">
        <f>E74*phi</f>
        <v/>
      </c>
    </row>
    <row r="75">
      <c r="A75" s="5" t="inlineStr">
        <is>
          <t>Propilenoglicol do e-líquido</t>
        </is>
      </c>
      <c r="B75" s="5" t="inlineStr">
        <is>
          <t>Químicos</t>
        </is>
      </c>
      <c r="C75" s="5" t="inlineStr">
        <is>
          <t>BA</t>
        </is>
      </c>
      <c r="D75" s="17" t="n">
        <v>0.00400378390385458</v>
      </c>
      <c r="E75" s="18" t="n">
        <v>0.08749609650052227</v>
      </c>
      <c r="F75" s="19">
        <f>E75*phi</f>
        <v/>
      </c>
    </row>
    <row r="76">
      <c r="A76" s="5" t="inlineStr">
        <is>
          <t>Propilenoglicol do e-líquido</t>
        </is>
      </c>
      <c r="B76" s="5" t="inlineStr">
        <is>
          <t>Químicos</t>
        </is>
      </c>
      <c r="C76" s="5" t="inlineStr">
        <is>
          <t>MG</t>
        </is>
      </c>
      <c r="D76" s="17" t="n">
        <v>0.0006020651122776087</v>
      </c>
      <c r="E76" s="18" t="n">
        <v>0.01315714045224173</v>
      </c>
      <c r="F76" s="19">
        <f>E76*phi</f>
        <v/>
      </c>
    </row>
    <row r="77">
      <c r="A77" s="5" t="inlineStr">
        <is>
          <t>Propilenoglicol do e-líquido</t>
        </is>
      </c>
      <c r="B77" s="5" t="inlineStr">
        <is>
          <t>Químicos</t>
        </is>
      </c>
      <c r="C77" s="5" t="inlineStr">
        <is>
          <t>ES</t>
        </is>
      </c>
      <c r="D77" s="17" t="n">
        <v>8.422178731268746e-05</v>
      </c>
      <c r="E77" s="18" t="n">
        <v>0.001840528311995785</v>
      </c>
      <c r="F77" s="19">
        <f>E77*phi</f>
        <v/>
      </c>
    </row>
    <row r="78">
      <c r="A78" s="5" t="inlineStr">
        <is>
          <t>Propilenoglicol do e-líquido</t>
        </is>
      </c>
      <c r="B78" s="5" t="inlineStr">
        <is>
          <t>Químicos</t>
        </is>
      </c>
      <c r="C78" s="5" t="inlineStr">
        <is>
          <t>RJ</t>
        </is>
      </c>
      <c r="D78" s="17" t="n">
        <v>0.00635208945576083</v>
      </c>
      <c r="E78" s="18" t="n">
        <v>0.1388144428739344</v>
      </c>
      <c r="F78" s="19">
        <f>E78*phi</f>
        <v/>
      </c>
    </row>
    <row r="79">
      <c r="A79" s="5" t="inlineStr">
        <is>
          <t>Propilenoglicol do e-líquido</t>
        </is>
      </c>
      <c r="B79" s="5" t="inlineStr">
        <is>
          <t>Químicos</t>
        </is>
      </c>
      <c r="C79" s="5" t="inlineStr">
        <is>
          <t>SP</t>
        </is>
      </c>
      <c r="D79" s="17" t="n">
        <v>0.1213005382890326</v>
      </c>
      <c r="E79" s="18" t="n">
        <v>2.650823285813373</v>
      </c>
      <c r="F79" s="19">
        <f>E79*phi</f>
        <v/>
      </c>
    </row>
    <row r="80">
      <c r="A80" s="5" t="inlineStr">
        <is>
          <t>Propilenoglicol do e-líquido</t>
        </is>
      </c>
      <c r="B80" s="5" t="inlineStr">
        <is>
          <t>Químicos</t>
        </is>
      </c>
      <c r="C80" s="5" t="inlineStr">
        <is>
          <t>PR</t>
        </is>
      </c>
      <c r="D80" s="17" t="n">
        <v>0.02645615083900733</v>
      </c>
      <c r="E80" s="18" t="n">
        <v>0.578155560447109</v>
      </c>
      <c r="F80" s="19">
        <f>E80*phi</f>
        <v/>
      </c>
    </row>
    <row r="81">
      <c r="A81" s="5" t="inlineStr">
        <is>
          <t>Propilenoglicol do e-líquido</t>
        </is>
      </c>
      <c r="B81" s="5" t="inlineStr">
        <is>
          <t>Químicos</t>
        </is>
      </c>
      <c r="C81" s="5" t="inlineStr">
        <is>
          <t>SC</t>
        </is>
      </c>
      <c r="D81" s="17" t="n">
        <v>0.0169134237728875</v>
      </c>
      <c r="E81" s="18" t="n">
        <v>0.3696149927477559</v>
      </c>
      <c r="F81" s="19">
        <f>E81*phi</f>
        <v/>
      </c>
    </row>
    <row r="82">
      <c r="A82" s="5" t="inlineStr">
        <is>
          <t>Propilenoglicol do e-líquido</t>
        </is>
      </c>
      <c r="B82" s="5" t="inlineStr">
        <is>
          <t>Químicos</t>
        </is>
      </c>
      <c r="C82" s="5" t="inlineStr">
        <is>
          <t>RS</t>
        </is>
      </c>
      <c r="D82" s="17" t="n">
        <v>0.8224822547226676</v>
      </c>
      <c r="E82" s="18" t="n">
        <v>17.97399371626912</v>
      </c>
      <c r="F82" s="19">
        <f>E82*phi</f>
        <v/>
      </c>
    </row>
    <row r="83">
      <c r="A83" s="5" t="inlineStr">
        <is>
          <t>Propilenoglicol do e-líquido</t>
        </is>
      </c>
      <c r="B83" s="5" t="inlineStr">
        <is>
          <t>Químicos</t>
        </is>
      </c>
      <c r="C83" s="5" t="inlineStr">
        <is>
          <t>MS</t>
        </is>
      </c>
      <c r="D83" s="17" t="n">
        <v>6.530484833243358e-05</v>
      </c>
      <c r="E83" s="18" t="n">
        <v>0.001427129797426278</v>
      </c>
      <c r="F83" s="19">
        <f>E83*phi</f>
        <v/>
      </c>
    </row>
    <row r="84">
      <c r="A84" s="5" t="inlineStr">
        <is>
          <t>Propilenoglicol do e-líquido</t>
        </is>
      </c>
      <c r="B84" s="5" t="inlineStr">
        <is>
          <t>Químicos</t>
        </is>
      </c>
      <c r="C84" s="5" t="inlineStr">
        <is>
          <t>MT</t>
        </is>
      </c>
      <c r="D84" s="17" t="n">
        <v>6.176255887145288e-06</v>
      </c>
      <c r="E84" s="18" t="n">
        <v>0.0001349718901145796</v>
      </c>
      <c r="F84" s="19">
        <f>E84*phi</f>
        <v/>
      </c>
    </row>
    <row r="85">
      <c r="A85" s="5" t="inlineStr">
        <is>
          <t>Propilenoglicol do e-líquido</t>
        </is>
      </c>
      <c r="B85" s="5" t="inlineStr">
        <is>
          <t>Químicos</t>
        </is>
      </c>
      <c r="C85" s="5" t="inlineStr">
        <is>
          <t>GO</t>
        </is>
      </c>
      <c r="D85" s="17" t="n">
        <v>0.001037268884167196</v>
      </c>
      <c r="E85" s="18" t="n">
        <v>0.02266780140124626</v>
      </c>
      <c r="F85" s="19">
        <f>E85*phi</f>
        <v/>
      </c>
    </row>
    <row r="86">
      <c r="A86" s="5" t="inlineStr">
        <is>
          <t>Propilenoglicol do e-líquido</t>
        </is>
      </c>
      <c r="B86" s="5" t="inlineStr">
        <is>
          <t>Químicos</t>
        </is>
      </c>
      <c r="C86" s="5" t="inlineStr">
        <is>
          <t>DF</t>
        </is>
      </c>
      <c r="D86" s="17" t="n">
        <v>2.076156835526306e-06</v>
      </c>
      <c r="E86" s="18" t="n">
        <v>4.537098484674524e-05</v>
      </c>
      <c r="F86" s="19">
        <f>E86*phi</f>
        <v/>
      </c>
    </row>
    <row r="87">
      <c r="A87" s="5" t="inlineStr">
        <is>
          <t>Aroma do e-líquido</t>
        </is>
      </c>
      <c r="B87" s="5" t="inlineStr">
        <is>
          <t>Químicos</t>
        </is>
      </c>
      <c r="C87" s="5" t="inlineStr">
        <is>
          <t>RO</t>
        </is>
      </c>
      <c r="D87" s="17" t="n">
        <v>3.189059855272257e-05</v>
      </c>
      <c r="E87" s="18" t="n">
        <v>0.001917623745426426</v>
      </c>
      <c r="F87" s="19">
        <f>E87*phi</f>
        <v/>
      </c>
    </row>
    <row r="88">
      <c r="A88" s="5" t="inlineStr">
        <is>
          <t>Aroma do e-líquido</t>
        </is>
      </c>
      <c r="B88" s="5" t="inlineStr">
        <is>
          <t>Químicos</t>
        </is>
      </c>
      <c r="C88" s="5" t="inlineStr">
        <is>
          <t>AC</t>
        </is>
      </c>
      <c r="D88" s="17" t="n">
        <v>2.521169641109784e-07</v>
      </c>
      <c r="E88" s="18" t="n">
        <v>1.516012552115488e-05</v>
      </c>
      <c r="F88" s="19">
        <f>E88*phi</f>
        <v/>
      </c>
    </row>
    <row r="89">
      <c r="A89" s="5" t="inlineStr">
        <is>
          <t>Aroma do e-líquido</t>
        </is>
      </c>
      <c r="B89" s="5" t="inlineStr">
        <is>
          <t>Químicos</t>
        </is>
      </c>
      <c r="C89" s="5" t="inlineStr">
        <is>
          <t>AM</t>
        </is>
      </c>
      <c r="D89" s="17" t="n">
        <v>0.006897827168778348</v>
      </c>
      <c r="E89" s="18" t="n">
        <v>0.4147754438923078</v>
      </c>
      <c r="F89" s="19">
        <f>E89*phi</f>
        <v/>
      </c>
    </row>
    <row r="90">
      <c r="A90" s="5" t="inlineStr">
        <is>
          <t>Aroma do e-líquido</t>
        </is>
      </c>
      <c r="B90" s="5" t="inlineStr">
        <is>
          <t>Químicos</t>
        </is>
      </c>
      <c r="C90" s="5" t="inlineStr">
        <is>
          <t>RR</t>
        </is>
      </c>
      <c r="D90" s="17" t="n">
        <v>1.971591517180286e-06</v>
      </c>
      <c r="E90" s="18" t="n">
        <v>0.0001185543978855002</v>
      </c>
      <c r="F90" s="19">
        <f>E90*phi</f>
        <v/>
      </c>
    </row>
    <row r="91">
      <c r="A91" s="5" t="inlineStr">
        <is>
          <t>Aroma do e-líquido</t>
        </is>
      </c>
      <c r="B91" s="5" t="inlineStr">
        <is>
          <t>Químicos</t>
        </is>
      </c>
      <c r="C91" s="5" t="inlineStr">
        <is>
          <t>PA</t>
        </is>
      </c>
      <c r="D91" s="17" t="n">
        <v>7.889678031705565e-06</v>
      </c>
      <c r="E91" s="18" t="n">
        <v>0.0004744167442437727</v>
      </c>
      <c r="F91" s="19">
        <f>E91*phi</f>
        <v/>
      </c>
    </row>
    <row r="92">
      <c r="A92" s="5" t="inlineStr">
        <is>
          <t>Aroma do e-líquido</t>
        </is>
      </c>
      <c r="B92" s="5" t="inlineStr">
        <is>
          <t>Químicos</t>
        </is>
      </c>
      <c r="C92" s="5" t="inlineStr">
        <is>
          <t>AP</t>
        </is>
      </c>
      <c r="D92" s="17" t="n">
        <v>9.10514928561132e-07</v>
      </c>
      <c r="E92" s="18" t="n">
        <v>5.475046335952231e-05</v>
      </c>
      <c r="F92" s="19">
        <f>E92*phi</f>
        <v/>
      </c>
    </row>
    <row r="93">
      <c r="A93" s="5" t="inlineStr">
        <is>
          <t>Aroma do e-líquido</t>
        </is>
      </c>
      <c r="B93" s="5" t="inlineStr">
        <is>
          <t>Químicos</t>
        </is>
      </c>
      <c r="C93" s="5" t="inlineStr">
        <is>
          <t>TO</t>
        </is>
      </c>
      <c r="D93" s="17" t="n">
        <v>1.815987242501403e-05</v>
      </c>
      <c r="E93" s="18" t="n">
        <v>0.001091977076521459</v>
      </c>
      <c r="F93" s="19">
        <f>E93*phi</f>
        <v/>
      </c>
    </row>
    <row r="94">
      <c r="A94" s="5" t="inlineStr">
        <is>
          <t>Aroma do e-líquido</t>
        </is>
      </c>
      <c r="B94" s="5" t="inlineStr">
        <is>
          <t>Químicos</t>
        </is>
      </c>
      <c r="C94" s="5" t="inlineStr">
        <is>
          <t>MA</t>
        </is>
      </c>
      <c r="D94" s="17" t="n">
        <v>2.176865458022164e-05</v>
      </c>
      <c r="E94" s="18" t="n">
        <v>0.001308977906451209</v>
      </c>
      <c r="F94" s="19">
        <f>E94*phi</f>
        <v/>
      </c>
    </row>
    <row r="95">
      <c r="A95" s="5" t="inlineStr">
        <is>
          <t>Aroma do e-líquido</t>
        </is>
      </c>
      <c r="B95" s="5" t="inlineStr">
        <is>
          <t>Químicos</t>
        </is>
      </c>
      <c r="C95" s="5" t="inlineStr">
        <is>
          <t>PI</t>
        </is>
      </c>
      <c r="D95" s="17" t="n">
        <v>2.179343464611777e-06</v>
      </c>
      <c r="E95" s="18" t="n">
        <v>0.0001310467964491264</v>
      </c>
      <c r="F95" s="19">
        <f>E95*phi</f>
        <v/>
      </c>
    </row>
    <row r="96">
      <c r="A96" s="5" t="inlineStr">
        <is>
          <t>Aroma do e-líquido</t>
        </is>
      </c>
      <c r="B96" s="5" t="inlineStr">
        <is>
          <t>Químicos</t>
        </is>
      </c>
      <c r="C96" s="5" t="inlineStr">
        <is>
          <t>CE</t>
        </is>
      </c>
      <c r="D96" s="17" t="n">
        <v>9.285807162402558e-05</v>
      </c>
      <c r="E96" s="18" t="n">
        <v>0.00558367829962029</v>
      </c>
      <c r="F96" s="19">
        <f>E96*phi</f>
        <v/>
      </c>
    </row>
    <row r="97">
      <c r="A97" s="5" t="inlineStr">
        <is>
          <t>Aroma do e-líquido</t>
        </is>
      </c>
      <c r="B97" s="5" t="inlineStr">
        <is>
          <t>Químicos</t>
        </is>
      </c>
      <c r="C97" s="5" t="inlineStr">
        <is>
          <t>RN</t>
        </is>
      </c>
      <c r="D97" s="17" t="n">
        <v>1.149478849191281e-05</v>
      </c>
      <c r="E97" s="18" t="n">
        <v>0.0006911967903112498</v>
      </c>
      <c r="F97" s="19">
        <f>E97*phi</f>
        <v/>
      </c>
    </row>
    <row r="98">
      <c r="A98" s="5" t="inlineStr">
        <is>
          <t>Aroma do e-líquido</t>
        </is>
      </c>
      <c r="B98" s="5" t="inlineStr">
        <is>
          <t>Químicos</t>
        </is>
      </c>
      <c r="C98" s="5" t="inlineStr">
        <is>
          <t>PB</t>
        </is>
      </c>
      <c r="D98" s="17" t="n">
        <v>4.185769355550856e-07</v>
      </c>
      <c r="E98" s="18" t="n">
        <v>2.516958311651798e-05</v>
      </c>
      <c r="F98" s="19">
        <f>E98*phi</f>
        <v/>
      </c>
    </row>
    <row r="99">
      <c r="A99" s="5" t="inlineStr">
        <is>
          <t>Aroma do e-líquido</t>
        </is>
      </c>
      <c r="B99" s="5" t="inlineStr">
        <is>
          <t>Químicos</t>
        </is>
      </c>
      <c r="C99" s="5" t="inlineStr">
        <is>
          <t>PE</t>
        </is>
      </c>
      <c r="D99" s="17" t="n">
        <v>0.0002355330983392148</v>
      </c>
      <c r="E99" s="18" t="n">
        <v>0.0141629158029891</v>
      </c>
      <c r="F99" s="19">
        <f>E99*phi</f>
        <v/>
      </c>
    </row>
    <row r="100">
      <c r="A100" s="5" t="inlineStr">
        <is>
          <t>Aroma do e-líquido</t>
        </is>
      </c>
      <c r="B100" s="5" t="inlineStr">
        <is>
          <t>Químicos</t>
        </is>
      </c>
      <c r="C100" s="5" t="inlineStr">
        <is>
          <t>AL</t>
        </is>
      </c>
      <c r="D100" s="17" t="n">
        <v>6.358071505699361e-06</v>
      </c>
      <c r="E100" s="18" t="n">
        <v>0.0003823192240901778</v>
      </c>
      <c r="F100" s="19">
        <f>E100*phi</f>
        <v/>
      </c>
    </row>
    <row r="101">
      <c r="A101" s="5" t="inlineStr">
        <is>
          <t>Aroma do e-líquido</t>
        </is>
      </c>
      <c r="B101" s="5" t="inlineStr">
        <is>
          <t>Químicos</t>
        </is>
      </c>
      <c r="C101" s="5" t="inlineStr">
        <is>
          <t>SE</t>
        </is>
      </c>
      <c r="D101" s="17" t="n">
        <v>0.0005262589567356029</v>
      </c>
      <c r="E101" s="18" t="n">
        <v>0.03164464505146064</v>
      </c>
      <c r="F101" s="19">
        <f>E101*phi</f>
        <v/>
      </c>
    </row>
    <row r="102">
      <c r="A102" s="5" t="inlineStr">
        <is>
          <t>Aroma do e-líquido</t>
        </is>
      </c>
      <c r="B102" s="5" t="inlineStr">
        <is>
          <t>Químicos</t>
        </is>
      </c>
      <c r="C102" s="5" t="inlineStr">
        <is>
          <t>BA</t>
        </is>
      </c>
      <c r="D102" s="17" t="n">
        <v>0.008464732508600446</v>
      </c>
      <c r="E102" s="18" t="n">
        <v>0.5089955282695512</v>
      </c>
      <c r="F102" s="19">
        <f>E102*phi</f>
        <v/>
      </c>
    </row>
    <row r="103">
      <c r="A103" s="5" t="inlineStr">
        <is>
          <t>Aroma do e-líquido</t>
        </is>
      </c>
      <c r="B103" s="5" t="inlineStr">
        <is>
          <t>Químicos</t>
        </is>
      </c>
      <c r="C103" s="5" t="inlineStr">
        <is>
          <t>MG</t>
        </is>
      </c>
      <c r="D103" s="17" t="n">
        <v>0.01138201009601122</v>
      </c>
      <c r="E103" s="18" t="n">
        <v>0.6844152766436883</v>
      </c>
      <c r="F103" s="19">
        <f>E103*phi</f>
        <v/>
      </c>
    </row>
    <row r="104">
      <c r="A104" s="5" t="inlineStr">
        <is>
          <t>Aroma do e-líquido</t>
        </is>
      </c>
      <c r="B104" s="5" t="inlineStr">
        <is>
          <t>Químicos</t>
        </is>
      </c>
      <c r="C104" s="5" t="inlineStr">
        <is>
          <t>ES</t>
        </is>
      </c>
      <c r="D104" s="17" t="n">
        <v>0.0008114336891088185</v>
      </c>
      <c r="E104" s="18" t="n">
        <v>0.04879257777183342</v>
      </c>
      <c r="F104" s="19">
        <f>E104*phi</f>
        <v/>
      </c>
    </row>
    <row r="105">
      <c r="A105" s="5" t="inlineStr">
        <is>
          <t>Aroma do e-líquido</t>
        </is>
      </c>
      <c r="B105" s="5" t="inlineStr">
        <is>
          <t>Químicos</t>
        </is>
      </c>
      <c r="C105" s="5" t="inlineStr">
        <is>
          <t>RJ</t>
        </is>
      </c>
      <c r="D105" s="17" t="n">
        <v>0.02778947075417583</v>
      </c>
      <c r="E105" s="18" t="n">
        <v>1.671017522701571</v>
      </c>
      <c r="F105" s="19">
        <f>E105*phi</f>
        <v/>
      </c>
    </row>
    <row r="106">
      <c r="A106" s="5" t="inlineStr">
        <is>
          <t>Aroma do e-líquido</t>
        </is>
      </c>
      <c r="B106" s="5" t="inlineStr">
        <is>
          <t>Químicos</t>
        </is>
      </c>
      <c r="C106" s="5" t="inlineStr">
        <is>
          <t>SP</t>
        </is>
      </c>
      <c r="D106" s="17" t="n">
        <v>0.3554436268444249</v>
      </c>
      <c r="E106" s="18" t="n">
        <v>21.37329400922043</v>
      </c>
      <c r="F106" s="19">
        <f>E106*phi</f>
        <v/>
      </c>
    </row>
    <row r="107">
      <c r="A107" s="5" t="inlineStr">
        <is>
          <t>Aroma do e-líquido</t>
        </is>
      </c>
      <c r="B107" s="5" t="inlineStr">
        <is>
          <t>Químicos</t>
        </is>
      </c>
      <c r="C107" s="5" t="inlineStr">
        <is>
          <t>PR</t>
        </is>
      </c>
      <c r="D107" s="17" t="n">
        <v>0.08551423365672961</v>
      </c>
      <c r="E107" s="18" t="n">
        <v>5.142083638254217</v>
      </c>
      <c r="F107" s="19">
        <f>E107*phi</f>
        <v/>
      </c>
    </row>
    <row r="108">
      <c r="A108" s="5" t="inlineStr">
        <is>
          <t>Aroma do e-líquido</t>
        </is>
      </c>
      <c r="B108" s="5" t="inlineStr">
        <is>
          <t>Químicos</t>
        </is>
      </c>
      <c r="C108" s="5" t="inlineStr">
        <is>
          <t>SC</t>
        </is>
      </c>
      <c r="D108" s="17" t="n">
        <v>0.0321377592078856</v>
      </c>
      <c r="E108" s="18" t="n">
        <v>1.932485841554606</v>
      </c>
      <c r="F108" s="19">
        <f>E108*phi</f>
        <v/>
      </c>
    </row>
    <row r="109">
      <c r="A109" s="5" t="inlineStr">
        <is>
          <t>Aroma do e-líquido</t>
        </is>
      </c>
      <c r="B109" s="5" t="inlineStr">
        <is>
          <t>Químicos</t>
        </is>
      </c>
      <c r="C109" s="5" t="inlineStr">
        <is>
          <t>RS</t>
        </is>
      </c>
      <c r="D109" s="17" t="n">
        <v>0.4564456546997227</v>
      </c>
      <c r="E109" s="18" t="n">
        <v>27.44667913654364</v>
      </c>
      <c r="F109" s="19">
        <f>E109*phi</f>
        <v/>
      </c>
    </row>
    <row r="110">
      <c r="A110" s="5" t="inlineStr">
        <is>
          <t>Aroma do e-líquido</t>
        </is>
      </c>
      <c r="B110" s="5" t="inlineStr">
        <is>
          <t>Químicos</t>
        </is>
      </c>
      <c r="C110" s="5" t="inlineStr">
        <is>
          <t>MS</t>
        </is>
      </c>
      <c r="D110" s="17" t="n">
        <v>0.002089070312173928</v>
      </c>
      <c r="E110" s="18" t="n">
        <v>0.1256185527489297</v>
      </c>
      <c r="F110" s="19">
        <f>E110*phi</f>
        <v/>
      </c>
    </row>
    <row r="111">
      <c r="A111" s="5" t="inlineStr">
        <is>
          <t>Aroma do e-líquido</t>
        </is>
      </c>
      <c r="B111" s="5" t="inlineStr">
        <is>
          <t>Químicos</t>
        </is>
      </c>
      <c r="C111" s="5" t="inlineStr">
        <is>
          <t>MT</t>
        </is>
      </c>
      <c r="D111" s="17" t="n">
        <v>0.004092294246201283</v>
      </c>
      <c r="E111" s="18" t="n">
        <v>0.2460750495734286</v>
      </c>
      <c r="F111" s="19">
        <f>E111*phi</f>
        <v/>
      </c>
    </row>
    <row r="112">
      <c r="A112" s="5" t="inlineStr">
        <is>
          <t>Aroma do e-líquido</t>
        </is>
      </c>
      <c r="B112" s="5" t="inlineStr">
        <is>
          <t>Químicos</t>
        </is>
      </c>
      <c r="C112" s="5" t="inlineStr">
        <is>
          <t>GO</t>
        </is>
      </c>
      <c r="D112" s="17" t="n">
        <v>0.007899436824114529</v>
      </c>
      <c r="E112" s="18" t="n">
        <v>0.475003553300341</v>
      </c>
      <c r="F112" s="19">
        <f>E112*phi</f>
        <v/>
      </c>
    </row>
    <row r="113">
      <c r="A113" s="5" t="inlineStr">
        <is>
          <t>Aroma do e-líquido</t>
        </is>
      </c>
      <c r="B113" s="5" t="inlineStr">
        <is>
          <t>Químicos</t>
        </is>
      </c>
      <c r="C113" s="5" t="inlineStr">
        <is>
          <t>DF</t>
        </is>
      </c>
      <c r="D113" s="17" t="n">
        <v>7.45060579764729e-05</v>
      </c>
      <c r="E113" s="18" t="n">
        <v>0.00448014751800903</v>
      </c>
      <c r="F113" s="19">
        <f>E113*phi</f>
        <v/>
      </c>
    </row>
    <row r="114">
      <c r="A114" s="5" t="inlineStr">
        <is>
          <t>Extração de nicotina além da folha</t>
        </is>
      </c>
      <c r="B114" s="5" t="inlineStr">
        <is>
          <t>Químicos</t>
        </is>
      </c>
      <c r="C114" s="5" t="inlineStr">
        <is>
          <t>RO</t>
        </is>
      </c>
      <c r="D114" s="17" t="n">
        <v>3.189059855272257e-05</v>
      </c>
      <c r="E114" s="18" t="n">
        <v>0.0008631759056641602</v>
      </c>
      <c r="F114" s="19">
        <f>E114*phi</f>
        <v/>
      </c>
    </row>
    <row r="115">
      <c r="A115" s="5" t="inlineStr">
        <is>
          <t>Extração de nicotina além da folha</t>
        </is>
      </c>
      <c r="B115" s="5" t="inlineStr">
        <is>
          <t>Químicos</t>
        </is>
      </c>
      <c r="C115" s="5" t="inlineStr">
        <is>
          <t>AC</t>
        </is>
      </c>
      <c r="D115" s="17" t="n">
        <v>2.521169641109784e-07</v>
      </c>
      <c r="E115" s="18" t="n">
        <v>6.823995117871927e-06</v>
      </c>
      <c r="F115" s="19">
        <f>E115*phi</f>
        <v/>
      </c>
    </row>
    <row r="116">
      <c r="A116" s="5" t="inlineStr">
        <is>
          <t>Extração de nicotina além da folha</t>
        </is>
      </c>
      <c r="B116" s="5" t="inlineStr">
        <is>
          <t>Químicos</t>
        </is>
      </c>
      <c r="C116" s="5" t="inlineStr">
        <is>
          <t>AM</t>
        </is>
      </c>
      <c r="D116" s="17" t="n">
        <v>0.006897827168778348</v>
      </c>
      <c r="E116" s="18" t="n">
        <v>0.1867019900451756</v>
      </c>
      <c r="F116" s="19">
        <f>E116*phi</f>
        <v/>
      </c>
    </row>
    <row r="117">
      <c r="A117" s="5" t="inlineStr">
        <is>
          <t>Extração de nicotina além da folha</t>
        </is>
      </c>
      <c r="B117" s="5" t="inlineStr">
        <is>
          <t>Químicos</t>
        </is>
      </c>
      <c r="C117" s="5" t="inlineStr">
        <is>
          <t>RR</t>
        </is>
      </c>
      <c r="D117" s="17" t="n">
        <v>1.971591517180286e-06</v>
      </c>
      <c r="E117" s="18" t="n">
        <v>5.336463944470494e-05</v>
      </c>
      <c r="F117" s="19">
        <f>E117*phi</f>
        <v/>
      </c>
    </row>
    <row r="118">
      <c r="A118" s="5" t="inlineStr">
        <is>
          <t>Extração de nicotina além da folha</t>
        </is>
      </c>
      <c r="B118" s="5" t="inlineStr">
        <is>
          <t>Químicos</t>
        </is>
      </c>
      <c r="C118" s="5" t="inlineStr">
        <is>
          <t>PA</t>
        </is>
      </c>
      <c r="D118" s="17" t="n">
        <v>7.889678031705565e-06</v>
      </c>
      <c r="E118" s="18" t="n">
        <v>0.0002135482019616931</v>
      </c>
      <c r="F118" s="19">
        <f>E118*phi</f>
        <v/>
      </c>
    </row>
    <row r="119">
      <c r="A119" s="5" t="inlineStr">
        <is>
          <t>Extração de nicotina além da folha</t>
        </is>
      </c>
      <c r="B119" s="5" t="inlineStr">
        <is>
          <t>Químicos</t>
        </is>
      </c>
      <c r="C119" s="5" t="inlineStr">
        <is>
          <t>AP</t>
        </is>
      </c>
      <c r="D119" s="17" t="n">
        <v>9.10514928561132e-07</v>
      </c>
      <c r="E119" s="18" t="n">
        <v>2.464470984394227e-05</v>
      </c>
      <c r="F119" s="19">
        <f>E119*phi</f>
        <v/>
      </c>
    </row>
    <row r="120">
      <c r="A120" s="5" t="inlineStr">
        <is>
          <t>Extração de nicotina além da folha</t>
        </is>
      </c>
      <c r="B120" s="5" t="inlineStr">
        <is>
          <t>Químicos</t>
        </is>
      </c>
      <c r="C120" s="5" t="inlineStr">
        <is>
          <t>TO</t>
        </is>
      </c>
      <c r="D120" s="17" t="n">
        <v>1.815987242501403e-05</v>
      </c>
      <c r="E120" s="18" t="n">
        <v>0.0004915293233299589</v>
      </c>
      <c r="F120" s="19">
        <f>E120*phi</f>
        <v/>
      </c>
    </row>
    <row r="121">
      <c r="A121" s="5" t="inlineStr">
        <is>
          <t>Extração de nicotina além da folha</t>
        </is>
      </c>
      <c r="B121" s="5" t="inlineStr">
        <is>
          <t>Químicos</t>
        </is>
      </c>
      <c r="C121" s="5" t="inlineStr">
        <is>
          <t>MA</t>
        </is>
      </c>
      <c r="D121" s="17" t="n">
        <v>2.176865458022164e-05</v>
      </c>
      <c r="E121" s="18" t="n">
        <v>0.0005892074462418305</v>
      </c>
      <c r="F121" s="19">
        <f>E121*phi</f>
        <v/>
      </c>
    </row>
    <row r="122">
      <c r="A122" s="5" t="inlineStr">
        <is>
          <t>Extração de nicotina além da folha</t>
        </is>
      </c>
      <c r="B122" s="5" t="inlineStr">
        <is>
          <t>Químicos</t>
        </is>
      </c>
      <c r="C122" s="5" t="inlineStr">
        <is>
          <t>PI</t>
        </is>
      </c>
      <c r="D122" s="17" t="n">
        <v>2.179343464611777e-06</v>
      </c>
      <c r="E122" s="18" t="n">
        <v>5.89878162904202e-05</v>
      </c>
      <c r="F122" s="19">
        <f>E122*phi</f>
        <v/>
      </c>
    </row>
    <row r="123">
      <c r="A123" s="5" t="inlineStr">
        <is>
          <t>Extração de nicotina além da folha</t>
        </is>
      </c>
      <c r="B123" s="5" t="inlineStr">
        <is>
          <t>Químicos</t>
        </is>
      </c>
      <c r="C123" s="5" t="inlineStr">
        <is>
          <t>CE</t>
        </is>
      </c>
      <c r="D123" s="17" t="n">
        <v>9.285807162402558e-05</v>
      </c>
      <c r="E123" s="18" t="n">
        <v>0.002513369259588666</v>
      </c>
      <c r="F123" s="19">
        <f>E123*phi</f>
        <v/>
      </c>
    </row>
    <row r="124">
      <c r="A124" s="5" t="inlineStr">
        <is>
          <t>Extração de nicotina além da folha</t>
        </is>
      </c>
      <c r="B124" s="5" t="inlineStr">
        <is>
          <t>Químicos</t>
        </is>
      </c>
      <c r="C124" s="5" t="inlineStr">
        <is>
          <t>RN</t>
        </is>
      </c>
      <c r="D124" s="17" t="n">
        <v>1.149478849191281e-05</v>
      </c>
      <c r="E124" s="18" t="n">
        <v>0.0003111269439023353</v>
      </c>
      <c r="F124" s="19">
        <f>E124*phi</f>
        <v/>
      </c>
    </row>
    <row r="125">
      <c r="A125" s="5" t="inlineStr">
        <is>
          <t>Extração de nicotina além da folha</t>
        </is>
      </c>
      <c r="B125" s="5" t="inlineStr">
        <is>
          <t>Químicos</t>
        </is>
      </c>
      <c r="C125" s="5" t="inlineStr">
        <is>
          <t>PB</t>
        </is>
      </c>
      <c r="D125" s="17" t="n">
        <v>4.185769355550856e-07</v>
      </c>
      <c r="E125" s="18" t="n">
        <v>1.132953101650218e-05</v>
      </c>
      <c r="F125" s="19">
        <f>E125*phi</f>
        <v/>
      </c>
    </row>
    <row r="126">
      <c r="A126" s="5" t="inlineStr">
        <is>
          <t>Extração de nicotina além da folha</t>
        </is>
      </c>
      <c r="B126" s="5" t="inlineStr">
        <is>
          <t>Químicos</t>
        </is>
      </c>
      <c r="C126" s="5" t="inlineStr">
        <is>
          <t>PE</t>
        </is>
      </c>
      <c r="D126" s="17" t="n">
        <v>0.0002355330983392148</v>
      </c>
      <c r="E126" s="18" t="n">
        <v>0.006375123224379892</v>
      </c>
      <c r="F126" s="19">
        <f>E126*phi</f>
        <v/>
      </c>
    </row>
    <row r="127">
      <c r="A127" s="5" t="inlineStr">
        <is>
          <t>Extração de nicotina além da folha</t>
        </is>
      </c>
      <c r="B127" s="5" t="inlineStr">
        <is>
          <t>Químicos</t>
        </is>
      </c>
      <c r="C127" s="5" t="inlineStr">
        <is>
          <t>AL</t>
        </is>
      </c>
      <c r="D127" s="17" t="n">
        <v>6.358071505699361e-06</v>
      </c>
      <c r="E127" s="18" t="n">
        <v>0.0001720925407259564</v>
      </c>
      <c r="F127" s="19">
        <f>E127*phi</f>
        <v/>
      </c>
    </row>
    <row r="128">
      <c r="A128" s="5" t="inlineStr">
        <is>
          <t>Extração de nicotina além da folha</t>
        </is>
      </c>
      <c r="B128" s="5" t="inlineStr">
        <is>
          <t>Químicos</t>
        </is>
      </c>
      <c r="C128" s="5" t="inlineStr">
        <is>
          <t>SE</t>
        </is>
      </c>
      <c r="D128" s="17" t="n">
        <v>0.0005262589567356029</v>
      </c>
      <c r="E128" s="18" t="n">
        <v>0.01424413689956752</v>
      </c>
      <c r="F128" s="19">
        <f>E128*phi</f>
        <v/>
      </c>
    </row>
    <row r="129">
      <c r="A129" s="5" t="inlineStr">
        <is>
          <t>Extração de nicotina além da folha</t>
        </is>
      </c>
      <c r="B129" s="5" t="inlineStr">
        <is>
          <t>Químicos</t>
        </is>
      </c>
      <c r="C129" s="5" t="inlineStr">
        <is>
          <t>BA</t>
        </is>
      </c>
      <c r="D129" s="17" t="n">
        <v>0.008464732508600446</v>
      </c>
      <c r="E129" s="18" t="n">
        <v>0.2291130766089767</v>
      </c>
      <c r="F129" s="19">
        <f>E129*phi</f>
        <v/>
      </c>
    </row>
    <row r="130">
      <c r="A130" s="5" t="inlineStr">
        <is>
          <t>Extração de nicotina além da folha</t>
        </is>
      </c>
      <c r="B130" s="5" t="inlineStr">
        <is>
          <t>Químicos</t>
        </is>
      </c>
      <c r="C130" s="5" t="inlineStr">
        <is>
          <t>MG</t>
        </is>
      </c>
      <c r="D130" s="17" t="n">
        <v>0.01138201009601122</v>
      </c>
      <c r="E130" s="18" t="n">
        <v>0.3080743955514232</v>
      </c>
      <c r="F130" s="19">
        <f>E130*phi</f>
        <v/>
      </c>
    </row>
    <row r="131">
      <c r="A131" s="5" t="inlineStr">
        <is>
          <t>Extração de nicotina além da folha</t>
        </is>
      </c>
      <c r="B131" s="5" t="inlineStr">
        <is>
          <t>Químicos</t>
        </is>
      </c>
      <c r="C131" s="5" t="inlineStr">
        <is>
          <t>ES</t>
        </is>
      </c>
      <c r="D131" s="17" t="n">
        <v>0.0008114336891088185</v>
      </c>
      <c r="E131" s="18" t="n">
        <v>0.02196289945216846</v>
      </c>
      <c r="F131" s="19">
        <f>E131*phi</f>
        <v/>
      </c>
    </row>
    <row r="132">
      <c r="A132" s="5" t="inlineStr">
        <is>
          <t>Extração de nicotina além da folha</t>
        </is>
      </c>
      <c r="B132" s="5" t="inlineStr">
        <is>
          <t>Químicos</t>
        </is>
      </c>
      <c r="C132" s="5" t="inlineStr">
        <is>
          <t>RJ</t>
        </is>
      </c>
      <c r="D132" s="17" t="n">
        <v>0.02778947075417583</v>
      </c>
      <c r="E132" s="18" t="n">
        <v>0.7521715701418082</v>
      </c>
      <c r="F132" s="19">
        <f>E132*phi</f>
        <v/>
      </c>
    </row>
    <row r="133">
      <c r="A133" s="5" t="inlineStr">
        <is>
          <t>Extração de nicotina além da folha</t>
        </is>
      </c>
      <c r="B133" s="5" t="inlineStr">
        <is>
          <t>Químicos</t>
        </is>
      </c>
      <c r="C133" s="5" t="inlineStr">
        <is>
          <t>SP</t>
        </is>
      </c>
      <c r="D133" s="17" t="n">
        <v>0.3554436268444249</v>
      </c>
      <c r="E133" s="18" t="n">
        <v>9.620715459660042</v>
      </c>
      <c r="F133" s="19">
        <f>E133*phi</f>
        <v/>
      </c>
    </row>
    <row r="134">
      <c r="A134" s="5" t="inlineStr">
        <is>
          <t>Extração de nicotina além da folha</t>
        </is>
      </c>
      <c r="B134" s="5" t="inlineStr">
        <is>
          <t>Químicos</t>
        </is>
      </c>
      <c r="C134" s="5" t="inlineStr">
        <is>
          <t>PR</t>
        </is>
      </c>
      <c r="D134" s="17" t="n">
        <v>0.08551423365672961</v>
      </c>
      <c r="E134" s="18" t="n">
        <v>2.31459519211572</v>
      </c>
      <c r="F134" s="19">
        <f>E134*phi</f>
        <v/>
      </c>
    </row>
    <row r="135">
      <c r="A135" s="5" t="inlineStr">
        <is>
          <t>Extração de nicotina além da folha</t>
        </is>
      </c>
      <c r="B135" s="5" t="inlineStr">
        <is>
          <t>Químicos</t>
        </is>
      </c>
      <c r="C135" s="5" t="inlineStr">
        <is>
          <t>SC</t>
        </is>
      </c>
      <c r="D135" s="17" t="n">
        <v>0.0321377592078856</v>
      </c>
      <c r="E135" s="18" t="n">
        <v>0.8698657494440499</v>
      </c>
      <c r="F135" s="19">
        <f>E135*phi</f>
        <v/>
      </c>
    </row>
    <row r="136">
      <c r="A136" s="5" t="inlineStr">
        <is>
          <t>Extração de nicotina além da folha</t>
        </is>
      </c>
      <c r="B136" s="5" t="inlineStr">
        <is>
          <t>Químicos</t>
        </is>
      </c>
      <c r="C136" s="5" t="inlineStr">
        <is>
          <t>RS</t>
        </is>
      </c>
      <c r="D136" s="17" t="n">
        <v>0.4564456546997227</v>
      </c>
      <c r="E136" s="18" t="n">
        <v>12.35451541401902</v>
      </c>
      <c r="F136" s="19">
        <f>E136*phi</f>
        <v/>
      </c>
    </row>
    <row r="137">
      <c r="A137" s="5" t="inlineStr">
        <is>
          <t>Extração de nicotina além da folha</t>
        </is>
      </c>
      <c r="B137" s="5" t="inlineStr">
        <is>
          <t>Químicos</t>
        </is>
      </c>
      <c r="C137" s="5" t="inlineStr">
        <is>
          <t>MS</t>
        </is>
      </c>
      <c r="D137" s="17" t="n">
        <v>0.002089070312173928</v>
      </c>
      <c r="E137" s="18" t="n">
        <v>0.05654441247710271</v>
      </c>
      <c r="F137" s="19">
        <f>E137*phi</f>
        <v/>
      </c>
    </row>
    <row r="138">
      <c r="A138" s="5" t="inlineStr">
        <is>
          <t>Extração de nicotina além da folha</t>
        </is>
      </c>
      <c r="B138" s="5" t="inlineStr">
        <is>
          <t>Químicos</t>
        </is>
      </c>
      <c r="C138" s="5" t="inlineStr">
        <is>
          <t>MT</t>
        </is>
      </c>
      <c r="D138" s="17" t="n">
        <v>0.004092294246201283</v>
      </c>
      <c r="E138" s="18" t="n">
        <v>0.1107652396793116</v>
      </c>
      <c r="F138" s="19">
        <f>E138*phi</f>
        <v/>
      </c>
    </row>
    <row r="139">
      <c r="A139" s="5" t="inlineStr">
        <is>
          <t>Extração de nicotina além da folha</t>
        </is>
      </c>
      <c r="B139" s="5" t="inlineStr">
        <is>
          <t>Químicos</t>
        </is>
      </c>
      <c r="C139" s="5" t="inlineStr">
        <is>
          <t>GO</t>
        </is>
      </c>
      <c r="D139" s="17" t="n">
        <v>0.007899436824114529</v>
      </c>
      <c r="E139" s="18" t="n">
        <v>0.2138123410766072</v>
      </c>
      <c r="F139" s="19">
        <f>E139*phi</f>
        <v/>
      </c>
    </row>
    <row r="140">
      <c r="A140" s="5" t="inlineStr">
        <is>
          <t>Extração de nicotina além da folha</t>
        </is>
      </c>
      <c r="B140" s="5" t="inlineStr">
        <is>
          <t>Químicos</t>
        </is>
      </c>
      <c r="C140" s="5" t="inlineStr">
        <is>
          <t>DF</t>
        </is>
      </c>
      <c r="D140" s="17" t="n">
        <v>7.45060579764729e-05</v>
      </c>
      <c r="E140" s="18" t="n">
        <v>0.002016639291513642</v>
      </c>
      <c r="F140" s="19">
        <f>E140*phi</f>
        <v/>
      </c>
    </row>
    <row r="141">
      <c r="A141" s="5" t="inlineStr">
        <is>
          <t>Embalagem do pod</t>
        </is>
      </c>
      <c r="B141" s="5" t="inlineStr">
        <is>
          <t>Papel, filtro e embalagem</t>
        </is>
      </c>
      <c r="C141" s="5" t="inlineStr">
        <is>
          <t>RO</t>
        </is>
      </c>
      <c r="D141" s="17" t="n">
        <v>1.904164240531368e-05</v>
      </c>
      <c r="E141" s="18" t="n">
        <v>0.001031121958904797</v>
      </c>
      <c r="F141" s="19">
        <f>E141*phi</f>
        <v/>
      </c>
    </row>
    <row r="142">
      <c r="A142" s="5" t="inlineStr">
        <is>
          <t>Embalagem do pod</t>
        </is>
      </c>
      <c r="B142" s="5" t="inlineStr">
        <is>
          <t>Papel, filtro e embalagem</t>
        </is>
      </c>
      <c r="C142" s="5" t="inlineStr">
        <is>
          <t>AC</t>
        </is>
      </c>
      <c r="D142" s="17" t="n">
        <v>6.510755946628172e-06</v>
      </c>
      <c r="E142" s="18" t="n">
        <v>0.0003525632549304091</v>
      </c>
      <c r="F142" s="19">
        <f>E142*phi</f>
        <v/>
      </c>
    </row>
    <row r="143">
      <c r="A143" s="5" t="inlineStr">
        <is>
          <t>Embalagem do pod</t>
        </is>
      </c>
      <c r="B143" s="5" t="inlineStr">
        <is>
          <t>Papel, filtro e embalagem</t>
        </is>
      </c>
      <c r="C143" s="5" t="inlineStr">
        <is>
          <t>AM</t>
        </is>
      </c>
      <c r="D143" s="17" t="n">
        <v>8.86934848699181e-05</v>
      </c>
      <c r="E143" s="18" t="n">
        <v>0.004802831495020734</v>
      </c>
      <c r="F143" s="19">
        <f>E143*phi</f>
        <v/>
      </c>
    </row>
    <row r="144">
      <c r="A144" s="5" t="inlineStr">
        <is>
          <t>Embalagem do pod</t>
        </is>
      </c>
      <c r="B144" s="5" t="inlineStr">
        <is>
          <t>Papel, filtro e embalagem</t>
        </is>
      </c>
      <c r="C144" s="5" t="inlineStr">
        <is>
          <t>RR</t>
        </is>
      </c>
      <c r="D144" s="17" t="n">
        <v>5.606340775999709e-06</v>
      </c>
      <c r="E144" s="18" t="n">
        <v>0.0003035883649208478</v>
      </c>
      <c r="F144" s="19">
        <f>E144*phi</f>
        <v/>
      </c>
    </row>
    <row r="145">
      <c r="A145" s="5" t="inlineStr">
        <is>
          <t>Embalagem do pod</t>
        </is>
      </c>
      <c r="B145" s="5" t="inlineStr">
        <is>
          <t>Papel, filtro e embalagem</t>
        </is>
      </c>
      <c r="C145" s="5" t="inlineStr">
        <is>
          <t>PA</t>
        </is>
      </c>
      <c r="D145" s="17" t="n">
        <v>1.335201645072847e-05</v>
      </c>
      <c r="E145" s="18" t="n">
        <v>0.0007230236271090929</v>
      </c>
      <c r="F145" s="19">
        <f>E145*phi</f>
        <v/>
      </c>
    </row>
    <row r="146">
      <c r="A146" s="5" t="inlineStr">
        <is>
          <t>Embalagem do pod</t>
        </is>
      </c>
      <c r="B146" s="5" t="inlineStr">
        <is>
          <t>Papel, filtro e embalagem</t>
        </is>
      </c>
      <c r="C146" s="5" t="inlineStr">
        <is>
          <t>AP</t>
        </is>
      </c>
      <c r="D146" s="17" t="n">
        <v>4.231039012098742e-07</v>
      </c>
      <c r="E146" s="18" t="n">
        <v>2.291145449270925e-05</v>
      </c>
      <c r="F146" s="19">
        <f>E146*phi</f>
        <v/>
      </c>
    </row>
    <row r="147">
      <c r="A147" s="5" t="inlineStr">
        <is>
          <t>Embalagem do pod</t>
        </is>
      </c>
      <c r="B147" s="5" t="inlineStr">
        <is>
          <t>Papel, filtro e embalagem</t>
        </is>
      </c>
      <c r="C147" s="5" t="inlineStr">
        <is>
          <t>TO</t>
        </is>
      </c>
      <c r="D147" s="17" t="n">
        <v>4.38566564745912e-05</v>
      </c>
      <c r="E147" s="18" t="n">
        <v>0.002374877154634302</v>
      </c>
      <c r="F147" s="19">
        <f>E147*phi</f>
        <v/>
      </c>
    </row>
    <row r="148">
      <c r="A148" s="5" t="inlineStr">
        <is>
          <t>Embalagem do pod</t>
        </is>
      </c>
      <c r="B148" s="5" t="inlineStr">
        <is>
          <t>Papel, filtro e embalagem</t>
        </is>
      </c>
      <c r="C148" s="5" t="inlineStr">
        <is>
          <t>MA</t>
        </is>
      </c>
      <c r="D148" s="17" t="n">
        <v>1.930712896343619e-05</v>
      </c>
      <c r="E148" s="18" t="n">
        <v>0.001045498293364149</v>
      </c>
      <c r="F148" s="19">
        <f>E148*phi</f>
        <v/>
      </c>
    </row>
    <row r="149">
      <c r="A149" s="5" t="inlineStr">
        <is>
          <t>Embalagem do pod</t>
        </is>
      </c>
      <c r="B149" s="5" t="inlineStr">
        <is>
          <t>Papel, filtro e embalagem</t>
        </is>
      </c>
      <c r="C149" s="5" t="inlineStr">
        <is>
          <t>PI</t>
        </is>
      </c>
      <c r="D149" s="17" t="n">
        <v>5.210754113575226e-07</v>
      </c>
      <c r="E149" s="18" t="n">
        <v>2.821669935079534e-05</v>
      </c>
      <c r="F149" s="19">
        <f>E149*phi</f>
        <v/>
      </c>
    </row>
    <row r="150">
      <c r="A150" s="5" t="inlineStr">
        <is>
          <t>Embalagem do pod</t>
        </is>
      </c>
      <c r="B150" s="5" t="inlineStr">
        <is>
          <t>Papel, filtro e embalagem</t>
        </is>
      </c>
      <c r="C150" s="5" t="inlineStr">
        <is>
          <t>CE</t>
        </is>
      </c>
      <c r="D150" s="17" t="n">
        <v>2.532771676588972e-05</v>
      </c>
      <c r="E150" s="18" t="n">
        <v>0.001371518505091886</v>
      </c>
      <c r="F150" s="19">
        <f>E150*phi</f>
        <v/>
      </c>
    </row>
    <row r="151">
      <c r="A151" s="5" t="inlineStr">
        <is>
          <t>Embalagem do pod</t>
        </is>
      </c>
      <c r="B151" s="5" t="inlineStr">
        <is>
          <t>Papel, filtro e embalagem</t>
        </is>
      </c>
      <c r="C151" s="5" t="inlineStr">
        <is>
          <t>RN</t>
        </is>
      </c>
      <c r="D151" s="17" t="n">
        <v>2.151304640137582e-07</v>
      </c>
      <c r="E151" s="18" t="n">
        <v>1.164950694652592e-05</v>
      </c>
      <c r="F151" s="19">
        <f>E151*phi</f>
        <v/>
      </c>
    </row>
    <row r="152">
      <c r="A152" s="5" t="inlineStr">
        <is>
          <t>Embalagem do pod</t>
        </is>
      </c>
      <c r="B152" s="5" t="inlineStr">
        <is>
          <t>Papel, filtro e embalagem</t>
        </is>
      </c>
      <c r="C152" s="5" t="inlineStr">
        <is>
          <t>PB</t>
        </is>
      </c>
      <c r="D152" s="17" t="n">
        <v>6.826845073468927e-05</v>
      </c>
      <c r="E152" s="18" t="n">
        <v>0.003696797637230327</v>
      </c>
      <c r="F152" s="19">
        <f>E152*phi</f>
        <v/>
      </c>
    </row>
    <row r="153">
      <c r="A153" s="5" t="inlineStr">
        <is>
          <t>Embalagem do pod</t>
        </is>
      </c>
      <c r="B153" s="5" t="inlineStr">
        <is>
          <t>Papel, filtro e embalagem</t>
        </is>
      </c>
      <c r="C153" s="5" t="inlineStr">
        <is>
          <t>PE</t>
        </is>
      </c>
      <c r="D153" s="17" t="n">
        <v>0.0001051286069573954</v>
      </c>
      <c r="E153" s="18" t="n">
        <v>0.005692808048563726</v>
      </c>
      <c r="F153" s="19">
        <f>E153*phi</f>
        <v/>
      </c>
    </row>
    <row r="154">
      <c r="A154" s="5" t="inlineStr">
        <is>
          <t>Embalagem do pod</t>
        </is>
      </c>
      <c r="B154" s="5" t="inlineStr">
        <is>
          <t>Papel, filtro e embalagem</t>
        </is>
      </c>
      <c r="C154" s="5" t="inlineStr">
        <is>
          <t>AL</t>
        </is>
      </c>
      <c r="D154" s="17" t="n">
        <v>6.817461347879951e-06</v>
      </c>
      <c r="E154" s="18" t="n">
        <v>0.0003691716265936205</v>
      </c>
      <c r="F154" s="19">
        <f>E154*phi</f>
        <v/>
      </c>
    </row>
    <row r="155">
      <c r="A155" s="5" t="inlineStr">
        <is>
          <t>Embalagem do pod</t>
        </is>
      </c>
      <c r="B155" s="5" t="inlineStr">
        <is>
          <t>Papel, filtro e embalagem</t>
        </is>
      </c>
      <c r="C155" s="5" t="inlineStr">
        <is>
          <t>SE</t>
        </is>
      </c>
      <c r="D155" s="17" t="n">
        <v>2.343685711651843e-06</v>
      </c>
      <c r="E155" s="18" t="n">
        <v>0.000126912676470663</v>
      </c>
      <c r="F155" s="19">
        <f>E155*phi</f>
        <v/>
      </c>
    </row>
    <row r="156">
      <c r="A156" s="5" t="inlineStr">
        <is>
          <t>Embalagem do pod</t>
        </is>
      </c>
      <c r="B156" s="5" t="inlineStr">
        <is>
          <t>Papel, filtro e embalagem</t>
        </is>
      </c>
      <c r="C156" s="5" t="inlineStr">
        <is>
          <t>BA</t>
        </is>
      </c>
      <c r="D156" s="17" t="n">
        <v>0.001028713092217255</v>
      </c>
      <c r="E156" s="18" t="n">
        <v>0.05570573358220743</v>
      </c>
      <c r="F156" s="19">
        <f>E156*phi</f>
        <v/>
      </c>
    </row>
    <row r="157">
      <c r="A157" s="5" t="inlineStr">
        <is>
          <t>Embalagem do pod</t>
        </is>
      </c>
      <c r="B157" s="5" t="inlineStr">
        <is>
          <t>Papel, filtro e embalagem</t>
        </is>
      </c>
      <c r="C157" s="5" t="inlineStr">
        <is>
          <t>MG</t>
        </is>
      </c>
      <c r="D157" s="17" t="n">
        <v>0.001929589491291005</v>
      </c>
      <c r="E157" s="18" t="n">
        <v>0.1044889959485254</v>
      </c>
      <c r="F157" s="19">
        <f>E157*phi</f>
        <v/>
      </c>
    </row>
    <row r="158">
      <c r="A158" s="5" t="inlineStr">
        <is>
          <t>Embalagem do pod</t>
        </is>
      </c>
      <c r="B158" s="5" t="inlineStr">
        <is>
          <t>Papel, filtro e embalagem</t>
        </is>
      </c>
      <c r="C158" s="5" t="inlineStr">
        <is>
          <t>ES</t>
        </is>
      </c>
      <c r="D158" s="17" t="n">
        <v>0.001759704931323546</v>
      </c>
      <c r="E158" s="18" t="n">
        <v>0.09528959515458749</v>
      </c>
      <c r="F158" s="19">
        <f>E158*phi</f>
        <v/>
      </c>
    </row>
    <row r="159">
      <c r="A159" s="5" t="inlineStr">
        <is>
          <t>Embalagem do pod</t>
        </is>
      </c>
      <c r="B159" s="5" t="inlineStr">
        <is>
          <t>Papel, filtro e embalagem</t>
        </is>
      </c>
      <c r="C159" s="5" t="inlineStr">
        <is>
          <t>RJ</t>
        </is>
      </c>
      <c r="D159" s="17" t="n">
        <v>0.008544040353274832</v>
      </c>
      <c r="E159" s="18" t="n">
        <v>0.4626674232455867</v>
      </c>
      <c r="F159" s="19">
        <f>E159*phi</f>
        <v/>
      </c>
    </row>
    <row r="160">
      <c r="A160" s="5" t="inlineStr">
        <is>
          <t>Embalagem do pod</t>
        </is>
      </c>
      <c r="B160" s="5" t="inlineStr">
        <is>
          <t>Papel, filtro e embalagem</t>
        </is>
      </c>
      <c r="C160" s="5" t="inlineStr">
        <is>
          <t>SP</t>
        </is>
      </c>
      <c r="D160" s="17" t="n">
        <v>0.07660799064223646</v>
      </c>
      <c r="E160" s="18" t="n">
        <v>4.148391178522499</v>
      </c>
      <c r="F160" s="19">
        <f>E160*phi</f>
        <v/>
      </c>
    </row>
    <row r="161">
      <c r="A161" s="5" t="inlineStr">
        <is>
          <t>Embalagem do pod</t>
        </is>
      </c>
      <c r="B161" s="5" t="inlineStr">
        <is>
          <t>Papel, filtro e embalagem</t>
        </is>
      </c>
      <c r="C161" s="5" t="inlineStr">
        <is>
          <t>PR</t>
        </is>
      </c>
      <c r="D161" s="17" t="n">
        <v>0.1343120584356554</v>
      </c>
      <c r="E161" s="18" t="n">
        <v>7.273118035241621</v>
      </c>
      <c r="F161" s="19">
        <f>E161*phi</f>
        <v/>
      </c>
    </row>
    <row r="162">
      <c r="A162" s="5" t="inlineStr">
        <is>
          <t>Embalagem do pod</t>
        </is>
      </c>
      <c r="B162" s="5" t="inlineStr">
        <is>
          <t>Papel, filtro e embalagem</t>
        </is>
      </c>
      <c r="C162" s="5" t="inlineStr">
        <is>
          <t>SC</t>
        </is>
      </c>
      <c r="D162" s="17" t="n">
        <v>0.1566925342945885</v>
      </c>
      <c r="E162" s="18" t="n">
        <v>8.485040810476852</v>
      </c>
      <c r="F162" s="19">
        <f>E162*phi</f>
        <v/>
      </c>
    </row>
    <row r="163">
      <c r="A163" s="5" t="inlineStr">
        <is>
          <t>Embalagem do pod</t>
        </is>
      </c>
      <c r="B163" s="5" t="inlineStr">
        <is>
          <t>Papel, filtro e embalagem</t>
        </is>
      </c>
      <c r="C163" s="5" t="inlineStr">
        <is>
          <t>RS</t>
        </is>
      </c>
      <c r="D163" s="17" t="n">
        <v>0.617695730502885</v>
      </c>
      <c r="E163" s="18" t="n">
        <v>33.44877600818342</v>
      </c>
      <c r="F163" s="19">
        <f>E163*phi</f>
        <v/>
      </c>
    </row>
    <row r="164">
      <c r="A164" s="5" t="inlineStr">
        <is>
          <t>Embalagem do pod</t>
        </is>
      </c>
      <c r="B164" s="5" t="inlineStr">
        <is>
          <t>Papel, filtro e embalagem</t>
        </is>
      </c>
      <c r="C164" s="5" t="inlineStr">
        <is>
          <t>MS</t>
        </is>
      </c>
      <c r="D164" s="17" t="n">
        <v>0.0002049941695833202</v>
      </c>
      <c r="E164" s="18" t="n">
        <v>0.01110061754157457</v>
      </c>
      <c r="F164" s="19">
        <f>E164*phi</f>
        <v/>
      </c>
    </row>
    <row r="165">
      <c r="A165" s="5" t="inlineStr">
        <is>
          <t>Embalagem do pod</t>
        </is>
      </c>
      <c r="B165" s="5" t="inlineStr">
        <is>
          <t>Papel, filtro e embalagem</t>
        </is>
      </c>
      <c r="C165" s="5" t="inlineStr">
        <is>
          <t>MT</t>
        </is>
      </c>
      <c r="D165" s="17" t="n">
        <v>6.013431304377979e-05</v>
      </c>
      <c r="E165" s="18" t="n">
        <v>0.003256326809592507</v>
      </c>
      <c r="F165" s="19">
        <f>E165*phi</f>
        <v/>
      </c>
    </row>
    <row r="166">
      <c r="A166" s="5" t="inlineStr">
        <is>
          <t>Embalagem do pod</t>
        </is>
      </c>
      <c r="B166" s="5" t="inlineStr">
        <is>
          <t>Papel, filtro e embalagem</t>
        </is>
      </c>
      <c r="C166" s="5" t="inlineStr">
        <is>
          <t>GO</t>
        </is>
      </c>
      <c r="D166" s="17" t="n">
        <v>0.0003858121164296247</v>
      </c>
      <c r="E166" s="18" t="n">
        <v>0.0208920710091219</v>
      </c>
      <c r="F166" s="19">
        <f>E166*phi</f>
        <v/>
      </c>
    </row>
    <row r="167">
      <c r="A167" s="5" t="inlineStr">
        <is>
          <t>Embalagem do pod</t>
        </is>
      </c>
      <c r="B167" s="5" t="inlineStr">
        <is>
          <t>Papel, filtro e embalagem</t>
        </is>
      </c>
      <c r="C167" s="5" t="inlineStr">
        <is>
          <t>DF</t>
        </is>
      </c>
      <c r="D167" s="17" t="n">
        <v>0.0003732844002906346</v>
      </c>
      <c r="E167" s="18" t="n">
        <v>0.02021368398079319</v>
      </c>
      <c r="F167" s="19">
        <f>E167*phi</f>
        <v/>
      </c>
    </row>
    <row r="168">
      <c r="A168" s="5" t="inlineStr">
        <is>
          <t>Químicos do stick</t>
        </is>
      </c>
      <c r="B168" s="5" t="inlineStr">
        <is>
          <t>Químicos</t>
        </is>
      </c>
      <c r="C168" s="5" t="inlineStr">
        <is>
          <t>RO</t>
        </is>
      </c>
      <c r="D168" s="17" t="n">
        <v>3.189059855272257e-05</v>
      </c>
      <c r="E168" s="18" t="n">
        <v>0.001496032872417234</v>
      </c>
      <c r="F168" s="19">
        <f>E168*phi</f>
        <v/>
      </c>
    </row>
    <row r="169">
      <c r="A169" s="5" t="inlineStr">
        <is>
          <t>Químicos do stick</t>
        </is>
      </c>
      <c r="B169" s="5" t="inlineStr">
        <is>
          <t>Químicos</t>
        </is>
      </c>
      <c r="C169" s="5" t="inlineStr">
        <is>
          <t>AC</t>
        </is>
      </c>
      <c r="D169" s="17" t="n">
        <v>2.521169641109784e-07</v>
      </c>
      <c r="E169" s="18" t="n">
        <v>1.182716170662339e-05</v>
      </c>
      <c r="F169" s="19">
        <f>E169*phi</f>
        <v/>
      </c>
    </row>
    <row r="170">
      <c r="A170" s="5" t="inlineStr">
        <is>
          <t>Químicos do stick</t>
        </is>
      </c>
      <c r="B170" s="5" t="inlineStr">
        <is>
          <t>Químicos</t>
        </is>
      </c>
      <c r="C170" s="5" t="inlineStr">
        <is>
          <t>AM</t>
        </is>
      </c>
      <c r="D170" s="17" t="n">
        <v>0.006897827168778348</v>
      </c>
      <c r="E170" s="18" t="n">
        <v>0.3235867829725674</v>
      </c>
      <c r="F170" s="19">
        <f>E170*phi</f>
        <v/>
      </c>
    </row>
    <row r="171">
      <c r="A171" s="5" t="inlineStr">
        <is>
          <t>Químicos do stick</t>
        </is>
      </c>
      <c r="B171" s="5" t="inlineStr">
        <is>
          <t>Químicos</t>
        </is>
      </c>
      <c r="C171" s="5" t="inlineStr">
        <is>
          <t>RR</t>
        </is>
      </c>
      <c r="D171" s="17" t="n">
        <v>1.971591517180286e-06</v>
      </c>
      <c r="E171" s="18" t="n">
        <v>9.249013359860145e-05</v>
      </c>
      <c r="F171" s="19">
        <f>E171*phi</f>
        <v/>
      </c>
    </row>
    <row r="172">
      <c r="A172" s="5" t="inlineStr">
        <is>
          <t>Químicos do stick</t>
        </is>
      </c>
      <c r="B172" s="5" t="inlineStr">
        <is>
          <t>Químicos</t>
        </is>
      </c>
      <c r="C172" s="5" t="inlineStr">
        <is>
          <t>PA</t>
        </is>
      </c>
      <c r="D172" s="17" t="n">
        <v>7.889678031705565e-06</v>
      </c>
      <c r="E172" s="18" t="n">
        <v>0.0003701159032404539</v>
      </c>
      <c r="F172" s="19">
        <f>E172*phi</f>
        <v/>
      </c>
    </row>
    <row r="173">
      <c r="A173" s="5" t="inlineStr">
        <is>
          <t>Químicos do stick</t>
        </is>
      </c>
      <c r="B173" s="5" t="inlineStr">
        <is>
          <t>Químicos</t>
        </is>
      </c>
      <c r="C173" s="5" t="inlineStr">
        <is>
          <t>AP</t>
        </is>
      </c>
      <c r="D173" s="17" t="n">
        <v>9.10514928561132e-07</v>
      </c>
      <c r="E173" s="18" t="n">
        <v>4.271353708529853e-05</v>
      </c>
      <c r="F173" s="19">
        <f>E173*phi</f>
        <v/>
      </c>
    </row>
    <row r="174">
      <c r="A174" s="5" t="inlineStr">
        <is>
          <t>Químicos do stick</t>
        </is>
      </c>
      <c r="B174" s="5" t="inlineStr">
        <is>
          <t>Químicos</t>
        </is>
      </c>
      <c r="C174" s="5" t="inlineStr">
        <is>
          <t>TO</t>
        </is>
      </c>
      <c r="D174" s="17" t="n">
        <v>1.815987242501403e-05</v>
      </c>
      <c r="E174" s="18" t="n">
        <v>0.0008519051801994131</v>
      </c>
      <c r="F174" s="19">
        <f>E174*phi</f>
        <v/>
      </c>
    </row>
    <row r="175">
      <c r="A175" s="5" t="inlineStr">
        <is>
          <t>Químicos do stick</t>
        </is>
      </c>
      <c r="B175" s="5" t="inlineStr">
        <is>
          <t>Químicos</t>
        </is>
      </c>
      <c r="C175" s="5" t="inlineStr">
        <is>
          <t>MA</t>
        </is>
      </c>
      <c r="D175" s="17" t="n">
        <v>2.176865458022164e-05</v>
      </c>
      <c r="E175" s="18" t="n">
        <v>0.001021198231399369</v>
      </c>
      <c r="F175" s="19">
        <f>E175*phi</f>
        <v/>
      </c>
    </row>
    <row r="176">
      <c r="A176" s="5" t="inlineStr">
        <is>
          <t>Químicos do stick</t>
        </is>
      </c>
      <c r="B176" s="5" t="inlineStr">
        <is>
          <t>Químicos</t>
        </is>
      </c>
      <c r="C176" s="5" t="inlineStr">
        <is>
          <t>PI</t>
        </is>
      </c>
      <c r="D176" s="17" t="n">
        <v>2.179343464611777e-06</v>
      </c>
      <c r="E176" s="18" t="n">
        <v>0.0001022360699174942</v>
      </c>
      <c r="F176" s="19">
        <f>E176*phi</f>
        <v/>
      </c>
    </row>
    <row r="177">
      <c r="A177" s="5" t="inlineStr">
        <is>
          <t>Químicos do stick</t>
        </is>
      </c>
      <c r="B177" s="5" t="inlineStr">
        <is>
          <t>Químicos</t>
        </is>
      </c>
      <c r="C177" s="5" t="inlineStr">
        <is>
          <t>CE</t>
        </is>
      </c>
      <c r="D177" s="17" t="n">
        <v>9.285807162402558e-05</v>
      </c>
      <c r="E177" s="18" t="n">
        <v>0.00435610286176195</v>
      </c>
      <c r="F177" s="19">
        <f>E177*phi</f>
        <v/>
      </c>
    </row>
    <row r="178">
      <c r="A178" s="5" t="inlineStr">
        <is>
          <t>Químicos do stick</t>
        </is>
      </c>
      <c r="B178" s="5" t="inlineStr">
        <is>
          <t>Químicos</t>
        </is>
      </c>
      <c r="C178" s="5" t="inlineStr">
        <is>
          <t>RN</t>
        </is>
      </c>
      <c r="D178" s="17" t="n">
        <v>1.149478849191281e-05</v>
      </c>
      <c r="E178" s="18" t="n">
        <v>0.0005392367100590775</v>
      </c>
      <c r="F178" s="19">
        <f>E178*phi</f>
        <v/>
      </c>
    </row>
    <row r="179">
      <c r="A179" s="5" t="inlineStr">
        <is>
          <t>Químicos do stick</t>
        </is>
      </c>
      <c r="B179" s="5" t="inlineStr">
        <is>
          <t>Químicos</t>
        </is>
      </c>
      <c r="C179" s="5" t="inlineStr">
        <is>
          <t>PB</t>
        </is>
      </c>
      <c r="D179" s="17" t="n">
        <v>4.185769355550856e-07</v>
      </c>
      <c r="E179" s="18" t="n">
        <v>1.963603330275586e-05</v>
      </c>
      <c r="F179" s="19">
        <f>E179*phi</f>
        <v/>
      </c>
    </row>
    <row r="180">
      <c r="A180" s="5" t="inlineStr">
        <is>
          <t>Químicos do stick</t>
        </is>
      </c>
      <c r="B180" s="5" t="inlineStr">
        <is>
          <t>Químicos</t>
        </is>
      </c>
      <c r="C180" s="5" t="inlineStr">
        <is>
          <t>PE</t>
        </is>
      </c>
      <c r="D180" s="17" t="n">
        <v>0.0002355330983392148</v>
      </c>
      <c r="E180" s="18" t="n">
        <v>0.01104918921716708</v>
      </c>
      <c r="F180" s="19">
        <f>E180*phi</f>
        <v/>
      </c>
    </row>
    <row r="181">
      <c r="A181" s="5" t="inlineStr">
        <is>
          <t>Químicos do stick</t>
        </is>
      </c>
      <c r="B181" s="5" t="inlineStr">
        <is>
          <t>Químicos</t>
        </is>
      </c>
      <c r="C181" s="5" t="inlineStr">
        <is>
          <t>AL</t>
        </is>
      </c>
      <c r="D181" s="17" t="n">
        <v>6.358071505699361e-06</v>
      </c>
      <c r="E181" s="18" t="n">
        <v>0.0002982660849710999</v>
      </c>
      <c r="F181" s="19">
        <f>E181*phi</f>
        <v/>
      </c>
    </row>
    <row r="182">
      <c r="A182" s="5" t="inlineStr">
        <is>
          <t>Químicos do stick</t>
        </is>
      </c>
      <c r="B182" s="5" t="inlineStr">
        <is>
          <t>Químicos</t>
        </is>
      </c>
      <c r="C182" s="5" t="inlineStr">
        <is>
          <t>SE</t>
        </is>
      </c>
      <c r="D182" s="17" t="n">
        <v>0.0005262589567356029</v>
      </c>
      <c r="E182" s="18" t="n">
        <v>0.02468754850677606</v>
      </c>
      <c r="F182" s="19">
        <f>E182*phi</f>
        <v/>
      </c>
    </row>
    <row r="183">
      <c r="A183" s="5" t="inlineStr">
        <is>
          <t>Químicos do stick</t>
        </is>
      </c>
      <c r="B183" s="5" t="inlineStr">
        <is>
          <t>Químicos</t>
        </is>
      </c>
      <c r="C183" s="5" t="inlineStr">
        <is>
          <t>BA</t>
        </is>
      </c>
      <c r="D183" s="17" t="n">
        <v>0.008464732508600446</v>
      </c>
      <c r="E183" s="18" t="n">
        <v>0.3970925182902832</v>
      </c>
      <c r="F183" s="19">
        <f>E183*phi</f>
        <v/>
      </c>
    </row>
    <row r="184">
      <c r="A184" s="5" t="inlineStr">
        <is>
          <t>Químicos do stick</t>
        </is>
      </c>
      <c r="B184" s="5" t="inlineStr">
        <is>
          <t>Químicos</t>
        </is>
      </c>
      <c r="C184" s="5" t="inlineStr">
        <is>
          <t>MG</t>
        </is>
      </c>
      <c r="D184" s="17" t="n">
        <v>0.01138201009601122</v>
      </c>
      <c r="E184" s="18" t="n">
        <v>0.5339461167424191</v>
      </c>
      <c r="F184" s="19">
        <f>E184*phi</f>
        <v/>
      </c>
    </row>
    <row r="185">
      <c r="A185" s="5" t="inlineStr">
        <is>
          <t>Químicos do stick</t>
        </is>
      </c>
      <c r="B185" s="5" t="inlineStr">
        <is>
          <t>Químicos</t>
        </is>
      </c>
      <c r="C185" s="5" t="inlineStr">
        <is>
          <t>ES</t>
        </is>
      </c>
      <c r="D185" s="17" t="n">
        <v>0.0008114336891088185</v>
      </c>
      <c r="E185" s="18" t="n">
        <v>0.03806549665998486</v>
      </c>
      <c r="F185" s="19">
        <f>E185*phi</f>
        <v/>
      </c>
    </row>
    <row r="186">
      <c r="A186" s="5" t="inlineStr">
        <is>
          <t>Químicos do stick</t>
        </is>
      </c>
      <c r="B186" s="5" t="inlineStr">
        <is>
          <t>Químicos</t>
        </is>
      </c>
      <c r="C186" s="5" t="inlineStr">
        <is>
          <t>RJ</t>
        </is>
      </c>
      <c r="D186" s="17" t="n">
        <v>0.02778947075417583</v>
      </c>
      <c r="E186" s="18" t="n">
        <v>1.303643193983737</v>
      </c>
      <c r="F186" s="19">
        <f>E186*phi</f>
        <v/>
      </c>
    </row>
    <row r="187">
      <c r="A187" s="5" t="inlineStr">
        <is>
          <t>Químicos do stick</t>
        </is>
      </c>
      <c r="B187" s="5" t="inlineStr">
        <is>
          <t>Químicos</t>
        </is>
      </c>
      <c r="C187" s="5" t="inlineStr">
        <is>
          <t>SP</t>
        </is>
      </c>
      <c r="D187" s="17" t="n">
        <v>0.3554436268444249</v>
      </c>
      <c r="E187" s="18" t="n">
        <v>16.6743609145921</v>
      </c>
      <c r="F187" s="19">
        <f>E187*phi</f>
        <v/>
      </c>
    </row>
    <row r="188">
      <c r="A188" s="5" t="inlineStr">
        <is>
          <t>Químicos do stick</t>
        </is>
      </c>
      <c r="B188" s="5" t="inlineStr">
        <is>
          <t>Químicos</t>
        </is>
      </c>
      <c r="C188" s="5" t="inlineStr">
        <is>
          <t>PR</t>
        </is>
      </c>
      <c r="D188" s="17" t="n">
        <v>0.08551423365672961</v>
      </c>
      <c r="E188" s="18" t="n">
        <v>4.011593084354758</v>
      </c>
      <c r="F188" s="19">
        <f>E188*phi</f>
        <v/>
      </c>
    </row>
    <row r="189">
      <c r="A189" s="5" t="inlineStr">
        <is>
          <t>Químicos do stick</t>
        </is>
      </c>
      <c r="B189" s="5" t="inlineStr">
        <is>
          <t>Químicos</t>
        </is>
      </c>
      <c r="C189" s="5" t="inlineStr">
        <is>
          <t>SC</t>
        </is>
      </c>
      <c r="D189" s="17" t="n">
        <v>0.0321377592078856</v>
      </c>
      <c r="E189" s="18" t="n">
        <v>1.507627526693816</v>
      </c>
      <c r="F189" s="19">
        <f>E189*phi</f>
        <v/>
      </c>
    </row>
    <row r="190">
      <c r="A190" s="5" t="inlineStr">
        <is>
          <t>Químicos do stick</t>
        </is>
      </c>
      <c r="B190" s="5" t="inlineStr">
        <is>
          <t>Químicos</t>
        </is>
      </c>
      <c r="C190" s="5" t="inlineStr">
        <is>
          <t>RS</t>
        </is>
      </c>
      <c r="D190" s="17" t="n">
        <v>0.4564456546997227</v>
      </c>
      <c r="E190" s="18" t="n">
        <v>21.41250822789885</v>
      </c>
      <c r="F190" s="19">
        <f>E190*phi</f>
        <v/>
      </c>
    </row>
    <row r="191">
      <c r="A191" s="5" t="inlineStr">
        <is>
          <t>Químicos do stick</t>
        </is>
      </c>
      <c r="B191" s="5" t="inlineStr">
        <is>
          <t>Químicos</t>
        </is>
      </c>
      <c r="C191" s="5" t="inlineStr">
        <is>
          <t>MS</t>
        </is>
      </c>
      <c r="D191" s="17" t="n">
        <v>0.002089070312173928</v>
      </c>
      <c r="E191" s="18" t="n">
        <v>0.09800122925370162</v>
      </c>
      <c r="F191" s="19">
        <f>E191*phi</f>
        <v/>
      </c>
    </row>
    <row r="192">
      <c r="A192" s="5" t="inlineStr">
        <is>
          <t>Químicos do stick</t>
        </is>
      </c>
      <c r="B192" s="5" t="inlineStr">
        <is>
          <t>Químicos</t>
        </is>
      </c>
      <c r="C192" s="5" t="inlineStr">
        <is>
          <t>MT</t>
        </is>
      </c>
      <c r="D192" s="17" t="n">
        <v>0.004092294246201283</v>
      </c>
      <c r="E192" s="18" t="n">
        <v>0.1919752840574502</v>
      </c>
      <c r="F192" s="19">
        <f>E192*phi</f>
        <v/>
      </c>
    </row>
    <row r="193">
      <c r="A193" s="5" t="inlineStr">
        <is>
          <t>Químicos do stick</t>
        </is>
      </c>
      <c r="B193" s="5" t="inlineStr">
        <is>
          <t>Químicos</t>
        </is>
      </c>
      <c r="C193" s="5" t="inlineStr">
        <is>
          <t>GO</t>
        </is>
      </c>
      <c r="D193" s="17" t="n">
        <v>0.007899436824114529</v>
      </c>
      <c r="E193" s="18" t="n">
        <v>0.3705737019303961</v>
      </c>
      <c r="F193" s="19">
        <f>E193*phi</f>
        <v/>
      </c>
    </row>
    <row r="194">
      <c r="A194" s="5" t="inlineStr">
        <is>
          <t>Químicos do stick</t>
        </is>
      </c>
      <c r="B194" s="5" t="inlineStr">
        <is>
          <t>Químicos</t>
        </is>
      </c>
      <c r="C194" s="5" t="inlineStr">
        <is>
          <t>DF</t>
        </is>
      </c>
      <c r="D194" s="17" t="n">
        <v>7.45060579764729e-05</v>
      </c>
      <c r="E194" s="18" t="n">
        <v>0.003495184066324521</v>
      </c>
      <c r="F194" s="19">
        <f>E194*phi</f>
        <v/>
      </c>
    </row>
    <row r="195">
      <c r="A195" s="5" t="inlineStr">
        <is>
          <t>Papel, filtro e embalagem do stick</t>
        </is>
      </c>
      <c r="B195" s="5" t="inlineStr">
        <is>
          <t>Papel, filtro e embalagem</t>
        </is>
      </c>
      <c r="C195" s="5" t="inlineStr">
        <is>
          <t>RO</t>
        </is>
      </c>
      <c r="D195" s="17" t="n">
        <v>1.904164240531368e-05</v>
      </c>
      <c r="E195" s="18" t="n">
        <v>0.02127876453009565</v>
      </c>
      <c r="F195" s="19">
        <f>E195*phi</f>
        <v/>
      </c>
    </row>
    <row r="196">
      <c r="A196" s="5" t="inlineStr">
        <is>
          <t>Papel, filtro e embalagem do stick</t>
        </is>
      </c>
      <c r="B196" s="5" t="inlineStr">
        <is>
          <t>Papel, filtro e embalagem</t>
        </is>
      </c>
      <c r="C196" s="5" t="inlineStr">
        <is>
          <t>AC</t>
        </is>
      </c>
      <c r="D196" s="17" t="n">
        <v>6.510755946628172e-06</v>
      </c>
      <c r="E196" s="18" t="n">
        <v>0.00727567715810902</v>
      </c>
      <c r="F196" s="19">
        <f>E196*phi</f>
        <v/>
      </c>
    </row>
    <row r="197">
      <c r="A197" s="5" t="inlineStr">
        <is>
          <t>Papel, filtro e embalagem do stick</t>
        </is>
      </c>
      <c r="B197" s="5" t="inlineStr">
        <is>
          <t>Papel, filtro e embalagem</t>
        </is>
      </c>
      <c r="C197" s="5" t="inlineStr">
        <is>
          <t>AM</t>
        </is>
      </c>
      <c r="D197" s="17" t="n">
        <v>8.86934848699181e-05</v>
      </c>
      <c r="E197" s="18" t="n">
        <v>0.09911370772165795</v>
      </c>
      <c r="F197" s="19">
        <f>E197*phi</f>
        <v/>
      </c>
    </row>
    <row r="198">
      <c r="A198" s="5" t="inlineStr">
        <is>
          <t>Papel, filtro e embalagem do stick</t>
        </is>
      </c>
      <c r="B198" s="5" t="inlineStr">
        <is>
          <t>Papel, filtro e embalagem</t>
        </is>
      </c>
      <c r="C198" s="5" t="inlineStr">
        <is>
          <t>RR</t>
        </is>
      </c>
      <c r="D198" s="17" t="n">
        <v>5.606340775999709e-06</v>
      </c>
      <c r="E198" s="18" t="n">
        <v>0.006265006069785307</v>
      </c>
      <c r="F198" s="19">
        <f>E198*phi</f>
        <v/>
      </c>
    </row>
    <row r="199">
      <c r="A199" s="5" t="inlineStr">
        <is>
          <t>Papel, filtro e embalagem do stick</t>
        </is>
      </c>
      <c r="B199" s="5" t="inlineStr">
        <is>
          <t>Papel, filtro e embalagem</t>
        </is>
      </c>
      <c r="C199" s="5" t="inlineStr">
        <is>
          <t>PA</t>
        </is>
      </c>
      <c r="D199" s="17" t="n">
        <v>1.335201645072847e-05</v>
      </c>
      <c r="E199" s="18" t="n">
        <v>0.01492068845793106</v>
      </c>
      <c r="F199" s="19">
        <f>E199*phi</f>
        <v/>
      </c>
    </row>
    <row r="200">
      <c r="A200" s="5" t="inlineStr">
        <is>
          <t>Papel, filtro e embalagem do stick</t>
        </is>
      </c>
      <c r="B200" s="5" t="inlineStr">
        <is>
          <t>Papel, filtro e embalagem</t>
        </is>
      </c>
      <c r="C200" s="5" t="inlineStr">
        <is>
          <t>AP</t>
        </is>
      </c>
      <c r="D200" s="17" t="n">
        <v>4.231039012098742e-07</v>
      </c>
      <c r="E200" s="18" t="n">
        <v>0.0004728125911605917</v>
      </c>
      <c r="F200" s="19">
        <f>E200*phi</f>
        <v/>
      </c>
    </row>
    <row r="201">
      <c r="A201" s="5" t="inlineStr">
        <is>
          <t>Papel, filtro e embalagem do stick</t>
        </is>
      </c>
      <c r="B201" s="5" t="inlineStr">
        <is>
          <t>Papel, filtro e embalagem</t>
        </is>
      </c>
      <c r="C201" s="5" t="inlineStr">
        <is>
          <t>TO</t>
        </is>
      </c>
      <c r="D201" s="17" t="n">
        <v>4.38566564745912e-05</v>
      </c>
      <c r="E201" s="18" t="n">
        <v>0.04900918977134564</v>
      </c>
      <c r="F201" s="19">
        <f>E201*phi</f>
        <v/>
      </c>
    </row>
    <row r="202">
      <c r="A202" s="5" t="inlineStr">
        <is>
          <t>Papel, filtro e embalagem do stick</t>
        </is>
      </c>
      <c r="B202" s="5" t="inlineStr">
        <is>
          <t>Papel, filtro e embalagem</t>
        </is>
      </c>
      <c r="C202" s="5" t="inlineStr">
        <is>
          <t>MA</t>
        </is>
      </c>
      <c r="D202" s="17" t="n">
        <v>1.930712896343619e-05</v>
      </c>
      <c r="E202" s="18" t="n">
        <v>0.021575441982384</v>
      </c>
      <c r="F202" s="19">
        <f>E202*phi</f>
        <v/>
      </c>
    </row>
    <row r="203">
      <c r="A203" s="5" t="inlineStr">
        <is>
          <t>Papel, filtro e embalagem do stick</t>
        </is>
      </c>
      <c r="B203" s="5" t="inlineStr">
        <is>
          <t>Papel, filtro e embalagem</t>
        </is>
      </c>
      <c r="C203" s="5" t="inlineStr">
        <is>
          <t>PI</t>
        </is>
      </c>
      <c r="D203" s="17" t="n">
        <v>5.210754113575226e-07</v>
      </c>
      <c r="E203" s="18" t="n">
        <v>0.0005822943601548426</v>
      </c>
      <c r="F203" s="19">
        <f>E203*phi</f>
        <v/>
      </c>
    </row>
    <row r="204">
      <c r="A204" s="5" t="inlineStr">
        <is>
          <t>Papel, filtro e embalagem do stick</t>
        </is>
      </c>
      <c r="B204" s="5" t="inlineStr">
        <is>
          <t>Papel, filtro e embalagem</t>
        </is>
      </c>
      <c r="C204" s="5" t="inlineStr">
        <is>
          <t>CE</t>
        </is>
      </c>
      <c r="D204" s="17" t="n">
        <v>2.532771676588972e-05</v>
      </c>
      <c r="E204" s="18" t="n">
        <v>0.02830336321177463</v>
      </c>
      <c r="F204" s="19">
        <f>E204*phi</f>
        <v/>
      </c>
    </row>
    <row r="205">
      <c r="A205" s="5" t="inlineStr">
        <is>
          <t>Papel, filtro e embalagem do stick</t>
        </is>
      </c>
      <c r="B205" s="5" t="inlineStr">
        <is>
          <t>Papel, filtro e embalagem</t>
        </is>
      </c>
      <c r="C205" s="5" t="inlineStr">
        <is>
          <t>RN</t>
        </is>
      </c>
      <c r="D205" s="17" t="n">
        <v>2.151304640137582e-07</v>
      </c>
      <c r="E205" s="18" t="n">
        <v>0.0002404052334120894</v>
      </c>
      <c r="F205" s="19">
        <f>E205*phi</f>
        <v/>
      </c>
    </row>
    <row r="206">
      <c r="A206" s="5" t="inlineStr">
        <is>
          <t>Papel, filtro e embalagem do stick</t>
        </is>
      </c>
      <c r="B206" s="5" t="inlineStr">
        <is>
          <t>Papel, filtro e embalagem</t>
        </is>
      </c>
      <c r="C206" s="5" t="inlineStr">
        <is>
          <t>PB</t>
        </is>
      </c>
      <c r="D206" s="17" t="n">
        <v>6.826845073468927e-05</v>
      </c>
      <c r="E206" s="18" t="n">
        <v>0.07628902261143779</v>
      </c>
      <c r="F206" s="19">
        <f>E206*phi</f>
        <v/>
      </c>
    </row>
    <row r="207">
      <c r="A207" s="5" t="inlineStr">
        <is>
          <t>Papel, filtro e embalagem do stick</t>
        </is>
      </c>
      <c r="B207" s="5" t="inlineStr">
        <is>
          <t>Papel, filtro e embalagem</t>
        </is>
      </c>
      <c r="C207" s="5" t="inlineStr">
        <is>
          <t>PE</t>
        </is>
      </c>
      <c r="D207" s="17" t="n">
        <v>0.0001051286069573954</v>
      </c>
      <c r="E207" s="18" t="n">
        <v>0.1174797228730197</v>
      </c>
      <c r="F207" s="19">
        <f>E207*phi</f>
        <v/>
      </c>
    </row>
    <row r="208">
      <c r="A208" s="5" t="inlineStr">
        <is>
          <t>Papel, filtro e embalagem do stick</t>
        </is>
      </c>
      <c r="B208" s="5" t="inlineStr">
        <is>
          <t>Papel, filtro e embalagem</t>
        </is>
      </c>
      <c r="C208" s="5" t="inlineStr">
        <is>
          <t>AL</t>
        </is>
      </c>
      <c r="D208" s="17" t="n">
        <v>6.817461347879951e-06</v>
      </c>
      <c r="E208" s="18" t="n">
        <v>0.007618416081276902</v>
      </c>
      <c r="F208" s="19">
        <f>E208*phi</f>
        <v/>
      </c>
    </row>
    <row r="209">
      <c r="A209" s="5" t="inlineStr">
        <is>
          <t>Papel, filtro e embalagem do stick</t>
        </is>
      </c>
      <c r="B209" s="5" t="inlineStr">
        <is>
          <t>Papel, filtro e embalagem</t>
        </is>
      </c>
      <c r="C209" s="5" t="inlineStr">
        <is>
          <t>SE</t>
        </is>
      </c>
      <c r="D209" s="17" t="n">
        <v>2.343685711651843e-06</v>
      </c>
      <c r="E209" s="18" t="n">
        <v>0.002619035445013529</v>
      </c>
      <c r="F209" s="19">
        <f>E209*phi</f>
        <v/>
      </c>
    </row>
    <row r="210">
      <c r="A210" s="5" t="inlineStr">
        <is>
          <t>Papel, filtro e embalagem do stick</t>
        </is>
      </c>
      <c r="B210" s="5" t="inlineStr">
        <is>
          <t>Papel, filtro e embalagem</t>
        </is>
      </c>
      <c r="C210" s="5" t="inlineStr">
        <is>
          <t>BA</t>
        </is>
      </c>
      <c r="D210" s="17" t="n">
        <v>0.001028713092217255</v>
      </c>
      <c r="E210" s="18" t="n">
        <v>1.149572247623403</v>
      </c>
      <c r="F210" s="19">
        <f>E210*phi</f>
        <v/>
      </c>
    </row>
    <row r="211">
      <c r="A211" s="5" t="inlineStr">
        <is>
          <t>Papel, filtro e embalagem do stick</t>
        </is>
      </c>
      <c r="B211" s="5" t="inlineStr">
        <is>
          <t>Papel, filtro e embalagem</t>
        </is>
      </c>
      <c r="C211" s="5" t="inlineStr">
        <is>
          <t>MG</t>
        </is>
      </c>
      <c r="D211" s="17" t="n">
        <v>0.001929589491291005</v>
      </c>
      <c r="E211" s="18" t="n">
        <v>2.156288809071979</v>
      </c>
      <c r="F211" s="19">
        <f>E211*phi</f>
        <v/>
      </c>
    </row>
    <row r="212">
      <c r="A212" s="5" t="inlineStr">
        <is>
          <t>Papel, filtro e embalagem do stick</t>
        </is>
      </c>
      <c r="B212" s="5" t="inlineStr">
        <is>
          <t>Papel, filtro e embalagem</t>
        </is>
      </c>
      <c r="C212" s="5" t="inlineStr">
        <is>
          <t>ES</t>
        </is>
      </c>
      <c r="D212" s="17" t="n">
        <v>0.001759704931323546</v>
      </c>
      <c r="E212" s="18" t="n">
        <v>1.966445229831267</v>
      </c>
      <c r="F212" s="19">
        <f>E212*phi</f>
        <v/>
      </c>
    </row>
    <row r="213">
      <c r="A213" s="5" t="inlineStr">
        <is>
          <t>Papel, filtro e embalagem do stick</t>
        </is>
      </c>
      <c r="B213" s="5" t="inlineStr">
        <is>
          <t>Papel, filtro e embalagem</t>
        </is>
      </c>
      <c r="C213" s="5" t="inlineStr">
        <is>
          <t>RJ</t>
        </is>
      </c>
      <c r="D213" s="17" t="n">
        <v>0.008544040353274832</v>
      </c>
      <c r="E213" s="18" t="n">
        <v>9.547843560082621</v>
      </c>
      <c r="F213" s="19">
        <f>E213*phi</f>
        <v/>
      </c>
    </row>
    <row r="214">
      <c r="A214" s="5" t="inlineStr">
        <is>
          <t>Papel, filtro e embalagem do stick</t>
        </is>
      </c>
      <c r="B214" s="5" t="inlineStr">
        <is>
          <t>Papel, filtro e embalagem</t>
        </is>
      </c>
      <c r="C214" s="5" t="inlineStr">
        <is>
          <t>SP</t>
        </is>
      </c>
      <c r="D214" s="17" t="n">
        <v>0.07660799064223646</v>
      </c>
      <c r="E214" s="18" t="n">
        <v>85.60833983233636</v>
      </c>
      <c r="F214" s="19">
        <f>E214*phi</f>
        <v/>
      </c>
    </row>
    <row r="215">
      <c r="A215" s="5" t="inlineStr">
        <is>
          <t>Papel, filtro e embalagem do stick</t>
        </is>
      </c>
      <c r="B215" s="5" t="inlineStr">
        <is>
          <t>Papel, filtro e embalagem</t>
        </is>
      </c>
      <c r="C215" s="5" t="inlineStr">
        <is>
          <t>PR</t>
        </is>
      </c>
      <c r="D215" s="17" t="n">
        <v>0.1343120584356554</v>
      </c>
      <c r="E215" s="18" t="n">
        <v>150.0918147799697</v>
      </c>
      <c r="F215" s="19">
        <f>E215*phi</f>
        <v/>
      </c>
    </row>
    <row r="216">
      <c r="A216" s="5" t="inlineStr">
        <is>
          <t>Papel, filtro e embalagem do stick</t>
        </is>
      </c>
      <c r="B216" s="5" t="inlineStr">
        <is>
          <t>Papel, filtro e embalagem</t>
        </is>
      </c>
      <c r="C216" s="5" t="inlineStr">
        <is>
          <t>SC</t>
        </is>
      </c>
      <c r="D216" s="17" t="n">
        <v>0.1566925342945885</v>
      </c>
      <c r="E216" s="18" t="n">
        <v>175.1016782012486</v>
      </c>
      <c r="F216" s="19">
        <f>E216*phi</f>
        <v/>
      </c>
    </row>
    <row r="217">
      <c r="A217" s="5" t="inlineStr">
        <is>
          <t>Papel, filtro e embalagem do stick</t>
        </is>
      </c>
      <c r="B217" s="5" t="inlineStr">
        <is>
          <t>Papel, filtro e embalagem</t>
        </is>
      </c>
      <c r="C217" s="5" t="inlineStr">
        <is>
          <t>RS</t>
        </is>
      </c>
      <c r="D217" s="17" t="n">
        <v>0.617695730502885</v>
      </c>
      <c r="E217" s="18" t="n">
        <v>690.2661924240555</v>
      </c>
      <c r="F217" s="19">
        <f>E217*phi</f>
        <v/>
      </c>
    </row>
    <row r="218">
      <c r="A218" s="5" t="inlineStr">
        <is>
          <t>Papel, filtro e embalagem do stick</t>
        </is>
      </c>
      <c r="B218" s="5" t="inlineStr">
        <is>
          <t>Papel, filtro e embalagem</t>
        </is>
      </c>
      <c r="C218" s="5" t="inlineStr">
        <is>
          <t>MS</t>
        </is>
      </c>
      <c r="D218" s="17" t="n">
        <v>0.0002049941695833202</v>
      </c>
      <c r="E218" s="18" t="n">
        <v>0.2290780685697951</v>
      </c>
      <c r="F218" s="19">
        <f>E218*phi</f>
        <v/>
      </c>
    </row>
    <row r="219">
      <c r="A219" s="5" t="inlineStr">
        <is>
          <t>Papel, filtro e embalagem do stick</t>
        </is>
      </c>
      <c r="B219" s="5" t="inlineStr">
        <is>
          <t>Papel, filtro e embalagem</t>
        </is>
      </c>
      <c r="C219" s="5" t="inlineStr">
        <is>
          <t>MT</t>
        </is>
      </c>
      <c r="D219" s="17" t="n">
        <v>6.013431304377979e-05</v>
      </c>
      <c r="E219" s="18" t="n">
        <v>0.06719923944588803</v>
      </c>
      <c r="F219" s="19">
        <f>E219*phi</f>
        <v/>
      </c>
    </row>
    <row r="220">
      <c r="A220" s="5" t="inlineStr">
        <is>
          <t>Papel, filtro e embalagem do stick</t>
        </is>
      </c>
      <c r="B220" s="5" t="inlineStr">
        <is>
          <t>Papel, filtro e embalagem</t>
        </is>
      </c>
      <c r="C220" s="5" t="inlineStr">
        <is>
          <t>GO</t>
        </is>
      </c>
      <c r="D220" s="17" t="n">
        <v>0.0003858121164296247</v>
      </c>
      <c r="E220" s="18" t="n">
        <v>0.4311395521256555</v>
      </c>
      <c r="F220" s="19">
        <f>E220*phi</f>
        <v/>
      </c>
    </row>
    <row r="221">
      <c r="A221" s="5" t="inlineStr">
        <is>
          <t>Papel, filtro e embalagem do stick</t>
        </is>
      </c>
      <c r="B221" s="5" t="inlineStr">
        <is>
          <t>Papel, filtro e embalagem</t>
        </is>
      </c>
      <c r="C221" s="5" t="inlineStr">
        <is>
          <t>DF</t>
        </is>
      </c>
      <c r="D221" s="17" t="n">
        <v>0.0003732844002906346</v>
      </c>
      <c r="E221" s="18" t="n">
        <v>0.4171400075408322</v>
      </c>
      <c r="F221" s="19">
        <f>E221*phi</f>
        <v/>
      </c>
    </row>
    <row r="222">
      <c r="A222" s="5" t="inlineStr">
        <is>
          <t>Químicos do sachê</t>
        </is>
      </c>
      <c r="B222" s="5" t="inlineStr">
        <is>
          <t>Químicos</t>
        </is>
      </c>
      <c r="C222" s="5" t="inlineStr">
        <is>
          <t>RO</t>
        </is>
      </c>
      <c r="D222" s="17" t="n">
        <v>3.189059855272257e-05</v>
      </c>
      <c r="E222" s="18" t="n">
        <v>0.0005692199751074128</v>
      </c>
      <c r="F222" s="19">
        <f>E222*phi</f>
        <v/>
      </c>
    </row>
    <row r="223">
      <c r="A223" s="5" t="inlineStr">
        <is>
          <t>Químicos do sachê</t>
        </is>
      </c>
      <c r="B223" s="5" t="inlineStr">
        <is>
          <t>Químicos</t>
        </is>
      </c>
      <c r="C223" s="5" t="inlineStr">
        <is>
          <t>AC</t>
        </is>
      </c>
      <c r="D223" s="17" t="n">
        <v>2.521169641109784e-07</v>
      </c>
      <c r="E223" s="18" t="n">
        <v>4.500072703187185e-06</v>
      </c>
      <c r="F223" s="19">
        <f>E223*phi</f>
        <v/>
      </c>
    </row>
    <row r="224">
      <c r="A224" s="5" t="inlineStr">
        <is>
          <t>Químicos do sachê</t>
        </is>
      </c>
      <c r="B224" s="5" t="inlineStr">
        <is>
          <t>Químicos</t>
        </is>
      </c>
      <c r="C224" s="5" t="inlineStr">
        <is>
          <t>AM</t>
        </is>
      </c>
      <c r="D224" s="17" t="n">
        <v>0.006897827168778348</v>
      </c>
      <c r="E224" s="18" t="n">
        <v>0.1231203297365531</v>
      </c>
      <c r="F224" s="19">
        <f>E224*phi</f>
        <v/>
      </c>
    </row>
    <row r="225">
      <c r="A225" s="5" t="inlineStr">
        <is>
          <t>Químicos do sachê</t>
        </is>
      </c>
      <c r="B225" s="5" t="inlineStr">
        <is>
          <t>Químicos</t>
        </is>
      </c>
      <c r="C225" s="5" t="inlineStr">
        <is>
          <t>RR</t>
        </is>
      </c>
      <c r="D225" s="17" t="n">
        <v>1.971591517180286e-06</v>
      </c>
      <c r="E225" s="18" t="n">
        <v>3.519122641978565e-05</v>
      </c>
      <c r="F225" s="19">
        <f>E225*phi</f>
        <v/>
      </c>
    </row>
    <row r="226">
      <c r="A226" s="5" t="inlineStr">
        <is>
          <t>Químicos do sachê</t>
        </is>
      </c>
      <c r="B226" s="5" t="inlineStr">
        <is>
          <t>Químicos</t>
        </is>
      </c>
      <c r="C226" s="5" t="inlineStr">
        <is>
          <t>PA</t>
        </is>
      </c>
      <c r="D226" s="17" t="n">
        <v>7.889678031705565e-06</v>
      </c>
      <c r="E226" s="18" t="n">
        <v>0.0001408240213926477</v>
      </c>
      <c r="F226" s="19">
        <f>E226*phi</f>
        <v/>
      </c>
    </row>
    <row r="227">
      <c r="A227" s="5" t="inlineStr">
        <is>
          <t>Químicos do sachê</t>
        </is>
      </c>
      <c r="B227" s="5" t="inlineStr">
        <is>
          <t>Químicos</t>
        </is>
      </c>
      <c r="C227" s="5" t="inlineStr">
        <is>
          <t>AP</t>
        </is>
      </c>
      <c r="D227" s="17" t="n">
        <v>9.10514928561132e-07</v>
      </c>
      <c r="E227" s="18" t="n">
        <v>1.625191462347916e-05</v>
      </c>
      <c r="F227" s="19">
        <f>E227*phi</f>
        <v/>
      </c>
    </row>
    <row r="228">
      <c r="A228" s="5" t="inlineStr">
        <is>
          <t>Químicos do sachê</t>
        </is>
      </c>
      <c r="B228" s="5" t="inlineStr">
        <is>
          <t>Químicos</t>
        </is>
      </c>
      <c r="C228" s="5" t="inlineStr">
        <is>
          <t>TO</t>
        </is>
      </c>
      <c r="D228" s="17" t="n">
        <v>1.815987242501403e-05</v>
      </c>
      <c r="E228" s="18" t="n">
        <v>0.0003241382287833474</v>
      </c>
      <c r="F228" s="19">
        <f>E228*phi</f>
        <v/>
      </c>
    </row>
    <row r="229">
      <c r="A229" s="5" t="inlineStr">
        <is>
          <t>Químicos do sachê</t>
        </is>
      </c>
      <c r="B229" s="5" t="inlineStr">
        <is>
          <t>Químicos</t>
        </is>
      </c>
      <c r="C229" s="5" t="inlineStr">
        <is>
          <t>MA</t>
        </is>
      </c>
      <c r="D229" s="17" t="n">
        <v>2.176865458022164e-05</v>
      </c>
      <c r="E229" s="18" t="n">
        <v>0.0003885519112408685</v>
      </c>
      <c r="F229" s="19">
        <f>E229*phi</f>
        <v/>
      </c>
    </row>
    <row r="230">
      <c r="A230" s="5" t="inlineStr">
        <is>
          <t>Químicos do sachê</t>
        </is>
      </c>
      <c r="B230" s="5" t="inlineStr">
        <is>
          <t>Químicos</t>
        </is>
      </c>
      <c r="C230" s="5" t="inlineStr">
        <is>
          <t>PI</t>
        </is>
      </c>
      <c r="D230" s="17" t="n">
        <v>2.179343464611777e-06</v>
      </c>
      <c r="E230" s="18" t="n">
        <v>3.889942142747622e-05</v>
      </c>
      <c r="F230" s="19">
        <f>E230*phi</f>
        <v/>
      </c>
    </row>
    <row r="231">
      <c r="A231" s="5" t="inlineStr">
        <is>
          <t>Químicos do sachê</t>
        </is>
      </c>
      <c r="B231" s="5" t="inlineStr">
        <is>
          <t>Químicos</t>
        </is>
      </c>
      <c r="C231" s="5" t="inlineStr">
        <is>
          <t>CE</t>
        </is>
      </c>
      <c r="D231" s="17" t="n">
        <v>9.285807162402558e-05</v>
      </c>
      <c r="E231" s="18" t="n">
        <v>0.001657437351982147</v>
      </c>
      <c r="F231" s="19">
        <f>E231*phi</f>
        <v/>
      </c>
    </row>
    <row r="232">
      <c r="A232" s="5" t="inlineStr">
        <is>
          <t>Químicos do sachê</t>
        </is>
      </c>
      <c r="B232" s="5" t="inlineStr">
        <is>
          <t>Químicos</t>
        </is>
      </c>
      <c r="C232" s="5" t="inlineStr">
        <is>
          <t>RN</t>
        </is>
      </c>
      <c r="D232" s="17" t="n">
        <v>1.149478849191281e-05</v>
      </c>
      <c r="E232" s="18" t="n">
        <v>0.0002051721672271024</v>
      </c>
      <c r="F232" s="19">
        <f>E232*phi</f>
        <v/>
      </c>
    </row>
    <row r="233">
      <c r="A233" s="5" t="inlineStr">
        <is>
          <t>Químicos do sachê</t>
        </is>
      </c>
      <c r="B233" s="5" t="inlineStr">
        <is>
          <t>Químicos</t>
        </is>
      </c>
      <c r="C233" s="5" t="inlineStr">
        <is>
          <t>PB</t>
        </is>
      </c>
      <c r="D233" s="17" t="n">
        <v>4.185769355550856e-07</v>
      </c>
      <c r="E233" s="18" t="n">
        <v>7.471241169816863e-06</v>
      </c>
      <c r="F233" s="19">
        <f>E233*phi</f>
        <v/>
      </c>
    </row>
    <row r="234">
      <c r="A234" s="5" t="inlineStr">
        <is>
          <t>Químicos do sachê</t>
        </is>
      </c>
      <c r="B234" s="5" t="inlineStr">
        <is>
          <t>Químicos</t>
        </is>
      </c>
      <c r="C234" s="5" t="inlineStr">
        <is>
          <t>PE</t>
        </is>
      </c>
      <c r="D234" s="17" t="n">
        <v>0.0002355330983392148</v>
      </c>
      <c r="E234" s="18" t="n">
        <v>0.004204064848515481</v>
      </c>
      <c r="F234" s="19">
        <f>E234*phi</f>
        <v/>
      </c>
    </row>
    <row r="235">
      <c r="A235" s="5" t="inlineStr">
        <is>
          <t>Químicos do sachê</t>
        </is>
      </c>
      <c r="B235" s="5" t="inlineStr">
        <is>
          <t>Químicos</t>
        </is>
      </c>
      <c r="C235" s="5" t="inlineStr">
        <is>
          <t>AL</t>
        </is>
      </c>
      <c r="D235" s="17" t="n">
        <v>6.358071505699361e-06</v>
      </c>
      <c r="E235" s="18" t="n">
        <v>0.0001134861516701249</v>
      </c>
      <c r="F235" s="19">
        <f>E235*phi</f>
        <v/>
      </c>
    </row>
    <row r="236">
      <c r="A236" s="5" t="inlineStr">
        <is>
          <t>Químicos do sachê</t>
        </is>
      </c>
      <c r="B236" s="5" t="inlineStr">
        <is>
          <t>Químicos</t>
        </is>
      </c>
      <c r="C236" s="5" t="inlineStr">
        <is>
          <t>SE</t>
        </is>
      </c>
      <c r="D236" s="17" t="n">
        <v>0.0005262589567356029</v>
      </c>
      <c r="E236" s="18" t="n">
        <v>0.009393273373588624</v>
      </c>
      <c r="F236" s="19">
        <f>E236*phi</f>
        <v/>
      </c>
    </row>
    <row r="237">
      <c r="A237" s="5" t="inlineStr">
        <is>
          <t>Químicos do sachê</t>
        </is>
      </c>
      <c r="B237" s="5" t="inlineStr">
        <is>
          <t>Químicos</t>
        </is>
      </c>
      <c r="C237" s="5" t="inlineStr">
        <is>
          <t>BA</t>
        </is>
      </c>
      <c r="D237" s="17" t="n">
        <v>0.008464732508600446</v>
      </c>
      <c r="E237" s="18" t="n">
        <v>0.1510882531687416</v>
      </c>
      <c r="F237" s="19">
        <f>E237*phi</f>
        <v/>
      </c>
    </row>
    <row r="238">
      <c r="A238" s="5" t="inlineStr">
        <is>
          <t>Químicos do sachê</t>
        </is>
      </c>
      <c r="B238" s="5" t="inlineStr">
        <is>
          <t>Químicos</t>
        </is>
      </c>
      <c r="C238" s="5" t="inlineStr">
        <is>
          <t>MG</t>
        </is>
      </c>
      <c r="D238" s="17" t="n">
        <v>0.01138201009601122</v>
      </c>
      <c r="E238" s="18" t="n">
        <v>0.2031591690827864</v>
      </c>
      <c r="F238" s="19">
        <f>E238*phi</f>
        <v/>
      </c>
    </row>
    <row r="239">
      <c r="A239" s="5" t="inlineStr">
        <is>
          <t>Químicos do sachê</t>
        </is>
      </c>
      <c r="B239" s="5" t="inlineStr">
        <is>
          <t>Químicos</t>
        </is>
      </c>
      <c r="C239" s="5" t="inlineStr">
        <is>
          <t>ES</t>
        </is>
      </c>
      <c r="D239" s="17" t="n">
        <v>0.0008114336891088185</v>
      </c>
      <c r="E239" s="18" t="n">
        <v>0.01448339903536886</v>
      </c>
      <c r="F239" s="19">
        <f>E239*phi</f>
        <v/>
      </c>
    </row>
    <row r="240">
      <c r="A240" s="5" t="inlineStr">
        <is>
          <t>Químicos do sachê</t>
        </is>
      </c>
      <c r="B240" s="5" t="inlineStr">
        <is>
          <t>Químicos</t>
        </is>
      </c>
      <c r="C240" s="5" t="inlineStr">
        <is>
          <t>RJ</t>
        </is>
      </c>
      <c r="D240" s="17" t="n">
        <v>0.02778947075417583</v>
      </c>
      <c r="E240" s="18" t="n">
        <v>0.4960183429855911</v>
      </c>
      <c r="F240" s="19">
        <f>E240*phi</f>
        <v/>
      </c>
    </row>
    <row r="241">
      <c r="A241" s="5" t="inlineStr">
        <is>
          <t>Químicos do sachê</t>
        </is>
      </c>
      <c r="B241" s="5" t="inlineStr">
        <is>
          <t>Químicos</t>
        </is>
      </c>
      <c r="C241" s="5" t="inlineStr">
        <is>
          <t>SP</t>
        </is>
      </c>
      <c r="D241" s="17" t="n">
        <v>0.3554436268444249</v>
      </c>
      <c r="E241" s="18" t="n">
        <v>6.344365474670561</v>
      </c>
      <c r="F241" s="19">
        <f>E241*phi</f>
        <v/>
      </c>
    </row>
    <row r="242">
      <c r="A242" s="5" t="inlineStr">
        <is>
          <t>Químicos do sachê</t>
        </is>
      </c>
      <c r="B242" s="5" t="inlineStr">
        <is>
          <t>Químicos</t>
        </is>
      </c>
      <c r="C242" s="5" t="inlineStr">
        <is>
          <t>PR</t>
        </is>
      </c>
      <c r="D242" s="17" t="n">
        <v>0.08551423365672961</v>
      </c>
      <c r="E242" s="18" t="n">
        <v>1.526356110028468</v>
      </c>
      <c r="F242" s="19">
        <f>E242*phi</f>
        <v/>
      </c>
    </row>
    <row r="243">
      <c r="A243" s="5" t="inlineStr">
        <is>
          <t>Químicos do sachê</t>
        </is>
      </c>
      <c r="B243" s="5" t="inlineStr">
        <is>
          <t>Químicos</t>
        </is>
      </c>
      <c r="C243" s="5" t="inlineStr">
        <is>
          <t>SC</t>
        </is>
      </c>
      <c r="D243" s="17" t="n">
        <v>0.0321377592078856</v>
      </c>
      <c r="E243" s="18" t="n">
        <v>0.5736315819246018</v>
      </c>
      <c r="F243" s="19">
        <f>E243*phi</f>
        <v/>
      </c>
    </row>
    <row r="244">
      <c r="A244" s="5" t="inlineStr">
        <is>
          <t>Químicos do sachê</t>
        </is>
      </c>
      <c r="B244" s="5" t="inlineStr">
        <is>
          <t>Químicos</t>
        </is>
      </c>
      <c r="C244" s="5" t="inlineStr">
        <is>
          <t>RS</t>
        </is>
      </c>
      <c r="D244" s="17" t="n">
        <v>0.4564456546997227</v>
      </c>
      <c r="E244" s="18" t="n">
        <v>8.147165496957461</v>
      </c>
      <c r="F244" s="19">
        <f>E244*phi</f>
        <v/>
      </c>
    </row>
    <row r="245">
      <c r="A245" s="5" t="inlineStr">
        <is>
          <t>Químicos do sachê</t>
        </is>
      </c>
      <c r="B245" s="5" t="inlineStr">
        <is>
          <t>Químicos</t>
        </is>
      </c>
      <c r="C245" s="5" t="inlineStr">
        <is>
          <t>MS</t>
        </is>
      </c>
      <c r="D245" s="17" t="n">
        <v>0.002089070312173928</v>
      </c>
      <c r="E245" s="18" t="n">
        <v>0.03728812267751427</v>
      </c>
      <c r="F245" s="19">
        <f>E245*phi</f>
        <v/>
      </c>
    </row>
    <row r="246">
      <c r="A246" s="5" t="inlineStr">
        <is>
          <t>Químicos do sachê</t>
        </is>
      </c>
      <c r="B246" s="5" t="inlineStr">
        <is>
          <t>Químicos</t>
        </is>
      </c>
      <c r="C246" s="5" t="inlineStr">
        <is>
          <t>MT</t>
        </is>
      </c>
      <c r="D246" s="17" t="n">
        <v>0.004092294246201283</v>
      </c>
      <c r="E246" s="18" t="n">
        <v>0.07304396074924205</v>
      </c>
      <c r="F246" s="19">
        <f>E246*phi</f>
        <v/>
      </c>
    </row>
    <row r="247">
      <c r="A247" s="5" t="inlineStr">
        <is>
          <t>Químicos do sachê</t>
        </is>
      </c>
      <c r="B247" s="5" t="inlineStr">
        <is>
          <t>Químicos</t>
        </is>
      </c>
      <c r="C247" s="5" t="inlineStr">
        <is>
          <t>GO</t>
        </is>
      </c>
      <c r="D247" s="17" t="n">
        <v>0.007899436824114529</v>
      </c>
      <c r="E247" s="18" t="n">
        <v>0.140998207510946</v>
      </c>
      <c r="F247" s="19">
        <f>E247*phi</f>
        <v/>
      </c>
    </row>
    <row r="248">
      <c r="A248" s="5" t="inlineStr">
        <is>
          <t>Químicos do sachê</t>
        </is>
      </c>
      <c r="B248" s="5" t="inlineStr">
        <is>
          <t>Químicos</t>
        </is>
      </c>
      <c r="C248" s="5" t="inlineStr">
        <is>
          <t>DF</t>
        </is>
      </c>
      <c r="D248" s="17" t="n">
        <v>7.45060579764729e-05</v>
      </c>
      <c r="E248" s="18" t="n">
        <v>0.001329869566311376</v>
      </c>
      <c r="F248" s="19">
        <f>E248*phi</f>
        <v/>
      </c>
    </row>
    <row r="249">
      <c r="A249" s="5" t="inlineStr">
        <is>
          <t>Papel e embalagem do sachê</t>
        </is>
      </c>
      <c r="B249" s="5" t="inlineStr">
        <is>
          <t>Papel, filtro e embalagem</t>
        </is>
      </c>
      <c r="C249" s="5" t="inlineStr">
        <is>
          <t>RO</t>
        </is>
      </c>
      <c r="D249" s="17" t="n">
        <v>1.904164240531368e-05</v>
      </c>
      <c r="E249" s="18" t="n">
        <v>0.0002780812395517372</v>
      </c>
      <c r="F249" s="19">
        <f>E249*phi</f>
        <v/>
      </c>
    </row>
    <row r="250">
      <c r="A250" s="5" t="inlineStr">
        <is>
          <t>Papel e embalagem do sachê</t>
        </is>
      </c>
      <c r="B250" s="5" t="inlineStr">
        <is>
          <t>Papel, filtro e embalagem</t>
        </is>
      </c>
      <c r="C250" s="5" t="inlineStr">
        <is>
          <t>AC</t>
        </is>
      </c>
      <c r="D250" s="17" t="n">
        <v>6.510755946628172e-06</v>
      </c>
      <c r="E250" s="18" t="n">
        <v>9.508208617298526e-05</v>
      </c>
      <c r="F250" s="19">
        <f>E250*phi</f>
        <v/>
      </c>
    </row>
    <row r="251">
      <c r="A251" s="5" t="inlineStr">
        <is>
          <t>Papel e embalagem do sachê</t>
        </is>
      </c>
      <c r="B251" s="5" t="inlineStr">
        <is>
          <t>Papel, filtro e embalagem</t>
        </is>
      </c>
      <c r="C251" s="5" t="inlineStr">
        <is>
          <t>AM</t>
        </is>
      </c>
      <c r="D251" s="17" t="n">
        <v>8.86934848699181e-05</v>
      </c>
      <c r="E251" s="18" t="n">
        <v>0.001295266116640623</v>
      </c>
      <c r="F251" s="19">
        <f>E251*phi</f>
        <v/>
      </c>
    </row>
    <row r="252">
      <c r="A252" s="5" t="inlineStr">
        <is>
          <t>Papel e embalagem do sachê</t>
        </is>
      </c>
      <c r="B252" s="5" t="inlineStr">
        <is>
          <t>Papel, filtro e embalagem</t>
        </is>
      </c>
      <c r="C252" s="5" t="inlineStr">
        <is>
          <t>RR</t>
        </is>
      </c>
      <c r="D252" s="17" t="n">
        <v>5.606340775999709e-06</v>
      </c>
      <c r="E252" s="18" t="n">
        <v>8.187414505297051e-05</v>
      </c>
      <c r="F252" s="19">
        <f>E252*phi</f>
        <v/>
      </c>
    </row>
    <row r="253">
      <c r="A253" s="5" t="inlineStr">
        <is>
          <t>Papel e embalagem do sachê</t>
        </is>
      </c>
      <c r="B253" s="5" t="inlineStr">
        <is>
          <t>Papel, filtro e embalagem</t>
        </is>
      </c>
      <c r="C253" s="5" t="inlineStr">
        <is>
          <t>PA</t>
        </is>
      </c>
      <c r="D253" s="17" t="n">
        <v>1.335201645072847e-05</v>
      </c>
      <c r="E253" s="18" t="n">
        <v>0.0001949908104616878</v>
      </c>
      <c r="F253" s="19">
        <f>E253*phi</f>
        <v/>
      </c>
    </row>
    <row r="254">
      <c r="A254" s="5" t="inlineStr">
        <is>
          <t>Papel e embalagem do sachê</t>
        </is>
      </c>
      <c r="B254" s="5" t="inlineStr">
        <is>
          <t>Papel, filtro e embalagem</t>
        </is>
      </c>
      <c r="C254" s="5" t="inlineStr">
        <is>
          <t>AP</t>
        </is>
      </c>
      <c r="D254" s="17" t="n">
        <v>4.231039012098742e-07</v>
      </c>
      <c r="E254" s="18" t="n">
        <v>6.1789447991516e-06</v>
      </c>
      <c r="F254" s="19">
        <f>E254*phi</f>
        <v/>
      </c>
    </row>
    <row r="255">
      <c r="A255" s="5" t="inlineStr">
        <is>
          <t>Papel e embalagem do sachê</t>
        </is>
      </c>
      <c r="B255" s="5" t="inlineStr">
        <is>
          <t>Papel, filtro e embalagem</t>
        </is>
      </c>
      <c r="C255" s="5" t="inlineStr">
        <is>
          <t>TO</t>
        </is>
      </c>
      <c r="D255" s="17" t="n">
        <v>4.38566564745912e-05</v>
      </c>
      <c r="E255" s="18" t="n">
        <v>0.0006404759177520187</v>
      </c>
      <c r="F255" s="19">
        <f>E255*phi</f>
        <v/>
      </c>
    </row>
    <row r="256">
      <c r="A256" s="5" t="inlineStr">
        <is>
          <t>Papel e embalagem do sachê</t>
        </is>
      </c>
      <c r="B256" s="5" t="inlineStr">
        <is>
          <t>Papel, filtro e embalagem</t>
        </is>
      </c>
      <c r="C256" s="5" t="inlineStr">
        <is>
          <t>MA</t>
        </is>
      </c>
      <c r="D256" s="17" t="n">
        <v>1.930712896343619e-05</v>
      </c>
      <c r="E256" s="18" t="n">
        <v>0.0002819583647279997</v>
      </c>
      <c r="F256" s="19">
        <f>E256*phi</f>
        <v/>
      </c>
    </row>
    <row r="257">
      <c r="A257" s="5" t="inlineStr">
        <is>
          <t>Papel e embalagem do sachê</t>
        </is>
      </c>
      <c r="B257" s="5" t="inlineStr">
        <is>
          <t>Papel, filtro e embalagem</t>
        </is>
      </c>
      <c r="C257" s="5" t="inlineStr">
        <is>
          <t>PI</t>
        </is>
      </c>
      <c r="D257" s="17" t="n">
        <v>5.210754113575226e-07</v>
      </c>
      <c r="E257" s="18" t="n">
        <v>7.609705780935979e-06</v>
      </c>
      <c r="F257" s="19">
        <f>E257*phi</f>
        <v/>
      </c>
    </row>
    <row r="258">
      <c r="A258" s="5" t="inlineStr">
        <is>
          <t>Papel e embalagem do sachê</t>
        </is>
      </c>
      <c r="B258" s="5" t="inlineStr">
        <is>
          <t>Papel, filtro e embalagem</t>
        </is>
      </c>
      <c r="C258" s="5" t="inlineStr">
        <is>
          <t>CE</t>
        </is>
      </c>
      <c r="D258" s="17" t="n">
        <v>2.532771676588972e-05</v>
      </c>
      <c r="E258" s="18" t="n">
        <v>0.0003698821101329207</v>
      </c>
      <c r="F258" s="19">
        <f>E258*phi</f>
        <v/>
      </c>
    </row>
    <row r="259">
      <c r="A259" s="5" t="inlineStr">
        <is>
          <t>Papel e embalagem do sachê</t>
        </is>
      </c>
      <c r="B259" s="5" t="inlineStr">
        <is>
          <t>Papel, filtro e embalagem</t>
        </is>
      </c>
      <c r="C259" s="5" t="inlineStr">
        <is>
          <t>RN</t>
        </is>
      </c>
      <c r="D259" s="17" t="n">
        <v>2.151304640137582e-07</v>
      </c>
      <c r="E259" s="18" t="n">
        <v>3.141732463245507e-06</v>
      </c>
      <c r="F259" s="19">
        <f>E259*phi</f>
        <v/>
      </c>
    </row>
    <row r="260">
      <c r="A260" s="5" t="inlineStr">
        <is>
          <t>Papel e embalagem do sachê</t>
        </is>
      </c>
      <c r="B260" s="5" t="inlineStr">
        <is>
          <t>Papel, filtro e embalagem</t>
        </is>
      </c>
      <c r="C260" s="5" t="inlineStr">
        <is>
          <t>PB</t>
        </is>
      </c>
      <c r="D260" s="17" t="n">
        <v>6.826845073468927e-05</v>
      </c>
      <c r="E260" s="18" t="n">
        <v>0.0009969820353984511</v>
      </c>
      <c r="F260" s="19">
        <f>E260*phi</f>
        <v/>
      </c>
    </row>
    <row r="261">
      <c r="A261" s="5" t="inlineStr">
        <is>
          <t>Papel e embalagem do sachê</t>
        </is>
      </c>
      <c r="B261" s="5" t="inlineStr">
        <is>
          <t>Papel, filtro e embalagem</t>
        </is>
      </c>
      <c r="C261" s="5" t="inlineStr">
        <is>
          <t>PE</t>
        </is>
      </c>
      <c r="D261" s="17" t="n">
        <v>0.0001051286069573954</v>
      </c>
      <c r="E261" s="18" t="n">
        <v>0.001535282131277809</v>
      </c>
      <c r="F261" s="19">
        <f>E261*phi</f>
        <v/>
      </c>
    </row>
    <row r="262">
      <c r="A262" s="5" t="inlineStr">
        <is>
          <t>Papel e embalagem do sachê</t>
        </is>
      </c>
      <c r="B262" s="5" t="inlineStr">
        <is>
          <t>Papel, filtro e embalagem</t>
        </is>
      </c>
      <c r="C262" s="5" t="inlineStr">
        <is>
          <t>AL</t>
        </is>
      </c>
      <c r="D262" s="17" t="n">
        <v>6.817461347879951e-06</v>
      </c>
      <c r="E262" s="18" t="n">
        <v>9.95611650434879e-05</v>
      </c>
      <c r="F262" s="19">
        <f>E262*phi</f>
        <v/>
      </c>
    </row>
    <row r="263">
      <c r="A263" s="5" t="inlineStr">
        <is>
          <t>Papel e embalagem do sachê</t>
        </is>
      </c>
      <c r="B263" s="5" t="inlineStr">
        <is>
          <t>Papel, filtro e embalagem</t>
        </is>
      </c>
      <c r="C263" s="5" t="inlineStr">
        <is>
          <t>SE</t>
        </is>
      </c>
      <c r="D263" s="17" t="n">
        <v>2.343685711651843e-06</v>
      </c>
      <c r="E263" s="18" t="n">
        <v>3.422682843965021e-05</v>
      </c>
      <c r="F263" s="19">
        <f>E263*phi</f>
        <v/>
      </c>
    </row>
    <row r="264">
      <c r="A264" s="5" t="inlineStr">
        <is>
          <t>Papel e embalagem do sachê</t>
        </is>
      </c>
      <c r="B264" s="5" t="inlineStr">
        <is>
          <t>Papel, filtro e embalagem</t>
        </is>
      </c>
      <c r="C264" s="5" t="inlineStr">
        <is>
          <t>BA</t>
        </is>
      </c>
      <c r="D264" s="17" t="n">
        <v>0.001028713092217255</v>
      </c>
      <c r="E264" s="18" t="n">
        <v>0.01502316899654867</v>
      </c>
      <c r="F264" s="19">
        <f>E264*phi</f>
        <v/>
      </c>
    </row>
    <row r="265">
      <c r="A265" s="5" t="inlineStr">
        <is>
          <t>Papel e embalagem do sachê</t>
        </is>
      </c>
      <c r="B265" s="5" t="inlineStr">
        <is>
          <t>Papel, filtro e embalagem</t>
        </is>
      </c>
      <c r="C265" s="5" t="inlineStr">
        <is>
          <t>MG</t>
        </is>
      </c>
      <c r="D265" s="17" t="n">
        <v>0.001929589491291005</v>
      </c>
      <c r="E265" s="18" t="n">
        <v>0.02817943043686567</v>
      </c>
      <c r="F265" s="19">
        <f>E265*phi</f>
        <v/>
      </c>
    </row>
    <row r="266">
      <c r="A266" s="5" t="inlineStr">
        <is>
          <t>Papel e embalagem do sachê</t>
        </is>
      </c>
      <c r="B266" s="5" t="inlineStr">
        <is>
          <t>Papel, filtro e embalagem</t>
        </is>
      </c>
      <c r="C266" s="5" t="inlineStr">
        <is>
          <t>ES</t>
        </is>
      </c>
      <c r="D266" s="17" t="n">
        <v>0.001759704931323546</v>
      </c>
      <c r="E266" s="18" t="n">
        <v>0.02569846225088245</v>
      </c>
      <c r="F266" s="19">
        <f>E266*phi</f>
        <v/>
      </c>
    </row>
    <row r="267">
      <c r="A267" s="5" t="inlineStr">
        <is>
          <t>Papel e embalagem do sachê</t>
        </is>
      </c>
      <c r="B267" s="5" t="inlineStr">
        <is>
          <t>Papel, filtro e embalagem</t>
        </is>
      </c>
      <c r="C267" s="5" t="inlineStr">
        <is>
          <t>RJ</t>
        </is>
      </c>
      <c r="D267" s="17" t="n">
        <v>0.008544040353274832</v>
      </c>
      <c r="E267" s="18" t="n">
        <v>0.1247758613277869</v>
      </c>
      <c r="F267" s="19">
        <f>E267*phi</f>
        <v/>
      </c>
    </row>
    <row r="268">
      <c r="A268" s="5" t="inlineStr">
        <is>
          <t>Papel e embalagem do sachê</t>
        </is>
      </c>
      <c r="B268" s="5" t="inlineStr">
        <is>
          <t>Papel, filtro e embalagem</t>
        </is>
      </c>
      <c r="C268" s="5" t="inlineStr">
        <is>
          <t>SP</t>
        </is>
      </c>
      <c r="D268" s="17" t="n">
        <v>0.07660799064223646</v>
      </c>
      <c r="E268" s="18" t="n">
        <v>1.11877140342769</v>
      </c>
      <c r="F268" s="19">
        <f>E268*phi</f>
        <v/>
      </c>
    </row>
    <row r="269">
      <c r="A269" s="5" t="inlineStr">
        <is>
          <t>Papel e embalagem do sachê</t>
        </is>
      </c>
      <c r="B269" s="5" t="inlineStr">
        <is>
          <t>Papel, filtro e embalagem</t>
        </is>
      </c>
      <c r="C269" s="5" t="inlineStr">
        <is>
          <t>PR</t>
        </is>
      </c>
      <c r="D269" s="17" t="n">
        <v>0.1343120584356554</v>
      </c>
      <c r="E269" s="18" t="n">
        <v>1.961472802687954</v>
      </c>
      <c r="F269" s="19">
        <f>E269*phi</f>
        <v/>
      </c>
    </row>
    <row r="270">
      <c r="A270" s="5" t="inlineStr">
        <is>
          <t>Papel e embalagem do sachê</t>
        </is>
      </c>
      <c r="B270" s="5" t="inlineStr">
        <is>
          <t>Papel, filtro e embalagem</t>
        </is>
      </c>
      <c r="C270" s="5" t="inlineStr">
        <is>
          <t>SC</t>
        </is>
      </c>
      <c r="D270" s="17" t="n">
        <v>0.1566925342945885</v>
      </c>
      <c r="E270" s="18" t="n">
        <v>2.288313856423587</v>
      </c>
      <c r="F270" s="19">
        <f>E270*phi</f>
        <v/>
      </c>
    </row>
    <row r="271">
      <c r="A271" s="5" t="inlineStr">
        <is>
          <t>Papel e embalagem do sachê</t>
        </is>
      </c>
      <c r="B271" s="5" t="inlineStr">
        <is>
          <t>Papel, filtro e embalagem</t>
        </is>
      </c>
      <c r="C271" s="5" t="inlineStr">
        <is>
          <t>RS</t>
        </is>
      </c>
      <c r="D271" s="17" t="n">
        <v>0.617695730502885</v>
      </c>
      <c r="E271" s="18" t="n">
        <v>9.020734175541744</v>
      </c>
      <c r="F271" s="19">
        <f>E271*phi</f>
        <v/>
      </c>
    </row>
    <row r="272">
      <c r="A272" s="5" t="inlineStr">
        <is>
          <t>Papel e embalagem do sachê</t>
        </is>
      </c>
      <c r="B272" s="5" t="inlineStr">
        <is>
          <t>Papel, filtro e embalagem</t>
        </is>
      </c>
      <c r="C272" s="5" t="inlineStr">
        <is>
          <t>MS</t>
        </is>
      </c>
      <c r="D272" s="17" t="n">
        <v>0.0002049941695833202</v>
      </c>
      <c r="E272" s="18" t="n">
        <v>0.002993703566384647</v>
      </c>
      <c r="F272" s="19">
        <f>E272*phi</f>
        <v/>
      </c>
    </row>
    <row r="273">
      <c r="A273" s="5" t="inlineStr">
        <is>
          <t>Papel e embalagem do sachê</t>
        </is>
      </c>
      <c r="B273" s="5" t="inlineStr">
        <is>
          <t>Papel, filtro e embalagem</t>
        </is>
      </c>
      <c r="C273" s="5" t="inlineStr">
        <is>
          <t>MT</t>
        </is>
      </c>
      <c r="D273" s="17" t="n">
        <v>6.013431304377979e-05</v>
      </c>
      <c r="E273" s="18" t="n">
        <v>0.0008781923299925033</v>
      </c>
      <c r="F273" s="19">
        <f>E273*phi</f>
        <v/>
      </c>
    </row>
    <row r="274">
      <c r="A274" s="5" t="inlineStr">
        <is>
          <t>Papel e embalagem do sachê</t>
        </is>
      </c>
      <c r="B274" s="5" t="inlineStr">
        <is>
          <t>Papel, filtro e embalagem</t>
        </is>
      </c>
      <c r="C274" s="5" t="inlineStr">
        <is>
          <t>GO</t>
        </is>
      </c>
      <c r="D274" s="17" t="n">
        <v>0.0003858121164296247</v>
      </c>
      <c r="E274" s="18" t="n">
        <v>0.005634341265693029</v>
      </c>
      <c r="F274" s="19">
        <f>E274*phi</f>
        <v/>
      </c>
    </row>
    <row r="275">
      <c r="A275" s="5" t="inlineStr">
        <is>
          <t>Papel e embalagem do sachê</t>
        </is>
      </c>
      <c r="B275" s="5" t="inlineStr">
        <is>
          <t>Papel, filtro e embalagem</t>
        </is>
      </c>
      <c r="C275" s="5" t="inlineStr">
        <is>
          <t>DF</t>
        </is>
      </c>
      <c r="D275" s="17" t="n">
        <v>0.0003732844002906346</v>
      </c>
      <c r="E275" s="18" t="n">
        <v>0.005451388411179256</v>
      </c>
      <c r="F275" s="19">
        <f>E275*phi</f>
        <v/>
      </c>
    </row>
    <row r="276">
      <c r="A276" s="5" t="inlineStr">
        <is>
          <t>Energia elétrica e combustível</t>
        </is>
      </c>
      <c r="B276" s="5" t="inlineStr">
        <is>
          <t>Energia</t>
        </is>
      </c>
      <c r="C276" s="5" t="inlineStr">
        <is>
          <t>RO</t>
        </is>
      </c>
      <c r="D276" s="17" t="n">
        <v>0.02064182867775691</v>
      </c>
      <c r="E276" s="18" t="n">
        <v>0.8152223387641584</v>
      </c>
      <c r="F276" s="19">
        <f>E276*phi</f>
        <v/>
      </c>
    </row>
    <row r="277">
      <c r="A277" s="5" t="inlineStr">
        <is>
          <t>Energia elétrica e combustível</t>
        </is>
      </c>
      <c r="B277" s="5" t="inlineStr">
        <is>
          <t>Energia</t>
        </is>
      </c>
      <c r="C277" s="5" t="inlineStr">
        <is>
          <t>PA</t>
        </is>
      </c>
      <c r="D277" s="17" t="n">
        <v>0.03040642532222014</v>
      </c>
      <c r="E277" s="18" t="n">
        <v>1.200862459988776</v>
      </c>
      <c r="F277" s="19">
        <f>E277*phi</f>
        <v/>
      </c>
    </row>
    <row r="278">
      <c r="A278" s="5" t="inlineStr">
        <is>
          <t>Energia elétrica e combustível</t>
        </is>
      </c>
      <c r="B278" s="5" t="inlineStr">
        <is>
          <t>Energia</t>
        </is>
      </c>
      <c r="C278" s="5" t="inlineStr">
        <is>
          <t>AP</t>
        </is>
      </c>
      <c r="D278" s="17" t="n">
        <v>0.001762974925920515</v>
      </c>
      <c r="E278" s="18" t="n">
        <v>0.06962641560145287</v>
      </c>
      <c r="F278" s="19">
        <f>E278*phi</f>
        <v/>
      </c>
    </row>
    <row r="279">
      <c r="A279" s="5" t="inlineStr">
        <is>
          <t>Energia elétrica e combustível</t>
        </is>
      </c>
      <c r="B279" s="5" t="inlineStr">
        <is>
          <t>Energia</t>
        </is>
      </c>
      <c r="C279" s="5" t="inlineStr">
        <is>
          <t>TO</t>
        </is>
      </c>
      <c r="D279" s="17" t="n">
        <v>0.0004743589203989407</v>
      </c>
      <c r="E279" s="18" t="n">
        <v>0.01873419233044851</v>
      </c>
      <c r="F279" s="19">
        <f>E279*phi</f>
        <v/>
      </c>
    </row>
    <row r="280">
      <c r="A280" s="5" t="inlineStr">
        <is>
          <t>Energia elétrica e combustível</t>
        </is>
      </c>
      <c r="B280" s="5" t="inlineStr">
        <is>
          <t>Energia</t>
        </is>
      </c>
      <c r="C280" s="5" t="inlineStr">
        <is>
          <t>MA</t>
        </is>
      </c>
      <c r="D280" s="17" t="n">
        <v>0.001508715581014813</v>
      </c>
      <c r="E280" s="18" t="n">
        <v>0.05958477146989265</v>
      </c>
      <c r="F280" s="19">
        <f>E280*phi</f>
        <v/>
      </c>
    </row>
    <row r="281">
      <c r="A281" s="5" t="inlineStr">
        <is>
          <t>Energia elétrica e combustível</t>
        </is>
      </c>
      <c r="B281" s="5" t="inlineStr">
        <is>
          <t>Energia</t>
        </is>
      </c>
      <c r="C281" s="5" t="inlineStr">
        <is>
          <t>PI</t>
        </is>
      </c>
      <c r="D281" s="17" t="n">
        <v>0.001400823814269693</v>
      </c>
      <c r="E281" s="18" t="n">
        <v>0.05532372562010646</v>
      </c>
      <c r="F281" s="19">
        <f>E281*phi</f>
        <v/>
      </c>
    </row>
    <row r="282">
      <c r="A282" s="5" t="inlineStr">
        <is>
          <t>Energia elétrica e combustível</t>
        </is>
      </c>
      <c r="B282" s="5" t="inlineStr">
        <is>
          <t>Energia</t>
        </is>
      </c>
      <c r="C282" s="5" t="inlineStr">
        <is>
          <t>CE</t>
        </is>
      </c>
      <c r="D282" s="17" t="n">
        <v>0.0129665145782535</v>
      </c>
      <c r="E282" s="18" t="n">
        <v>0.5120957307185657</v>
      </c>
      <c r="F282" s="19">
        <f>E282*phi</f>
        <v/>
      </c>
    </row>
    <row r="283">
      <c r="A283" s="5" t="inlineStr">
        <is>
          <t>Energia elétrica e combustível</t>
        </is>
      </c>
      <c r="B283" s="5" t="inlineStr">
        <is>
          <t>Energia</t>
        </is>
      </c>
      <c r="C283" s="5" t="inlineStr">
        <is>
          <t>RN</t>
        </is>
      </c>
      <c r="D283" s="17" t="n">
        <v>0.001211333930983462</v>
      </c>
      <c r="E283" s="18" t="n">
        <v>0.04784006764404699</v>
      </c>
      <c r="F283" s="19">
        <f>E283*phi</f>
        <v/>
      </c>
    </row>
    <row r="284">
      <c r="A284" s="5" t="inlineStr">
        <is>
          <t>Energia elétrica e combustível</t>
        </is>
      </c>
      <c r="B284" s="5" t="inlineStr">
        <is>
          <t>Energia</t>
        </is>
      </c>
      <c r="C284" s="5" t="inlineStr">
        <is>
          <t>PB</t>
        </is>
      </c>
      <c r="D284" s="17" t="n">
        <v>0.000447939834658646</v>
      </c>
      <c r="E284" s="18" t="n">
        <v>0.01769080469258762</v>
      </c>
      <c r="F284" s="19">
        <f>E284*phi</f>
        <v/>
      </c>
    </row>
    <row r="285">
      <c r="A285" s="5" t="inlineStr">
        <is>
          <t>Energia elétrica e combustível</t>
        </is>
      </c>
      <c r="B285" s="5" t="inlineStr">
        <is>
          <t>Energia</t>
        </is>
      </c>
      <c r="C285" s="5" t="inlineStr">
        <is>
          <t>PE</t>
        </is>
      </c>
      <c r="D285" s="17" t="n">
        <v>0.02221993248234502</v>
      </c>
      <c r="E285" s="18" t="n">
        <v>0.877547508421982</v>
      </c>
      <c r="F285" s="19">
        <f>E285*phi</f>
        <v/>
      </c>
    </row>
    <row r="286">
      <c r="A286" s="5" t="inlineStr">
        <is>
          <t>Energia elétrica e combustível</t>
        </is>
      </c>
      <c r="B286" s="5" t="inlineStr">
        <is>
          <t>Energia</t>
        </is>
      </c>
      <c r="C286" s="5" t="inlineStr">
        <is>
          <t>AL</t>
        </is>
      </c>
      <c r="D286" s="17" t="n">
        <v>8.059307835049284e-06</v>
      </c>
      <c r="E286" s="18" t="n">
        <v>0.0003182919442204739</v>
      </c>
      <c r="F286" s="19">
        <f>E286*phi</f>
        <v/>
      </c>
    </row>
    <row r="287">
      <c r="A287" s="5" t="inlineStr">
        <is>
          <t>Energia elétrica e combustível</t>
        </is>
      </c>
      <c r="B287" s="5" t="inlineStr">
        <is>
          <t>Energia</t>
        </is>
      </c>
      <c r="C287" s="5" t="inlineStr">
        <is>
          <t>BA</t>
        </is>
      </c>
      <c r="D287" s="17" t="n">
        <v>0.003246574202223781</v>
      </c>
      <c r="E287" s="18" t="n">
        <v>0.128219251086036</v>
      </c>
      <c r="F287" s="19">
        <f>E287*phi</f>
        <v/>
      </c>
    </row>
    <row r="288">
      <c r="A288" s="5" t="inlineStr">
        <is>
          <t>Energia elétrica e combustível</t>
        </is>
      </c>
      <c r="B288" s="5" t="inlineStr">
        <is>
          <t>Energia</t>
        </is>
      </c>
      <c r="C288" s="5" t="inlineStr">
        <is>
          <t>MG</t>
        </is>
      </c>
      <c r="D288" s="17" t="n">
        <v>0.06963530207629928</v>
      </c>
      <c r="E288" s="18" t="n">
        <v>2.750156233994971</v>
      </c>
      <c r="F288" s="19">
        <f>E288*phi</f>
        <v/>
      </c>
    </row>
    <row r="289">
      <c r="A289" s="5" t="inlineStr">
        <is>
          <t>Energia elétrica e combustível</t>
        </is>
      </c>
      <c r="B289" s="5" t="inlineStr">
        <is>
          <t>Energia</t>
        </is>
      </c>
      <c r="C289" s="5" t="inlineStr">
        <is>
          <t>ES</t>
        </is>
      </c>
      <c r="D289" s="17" t="n">
        <v>0.006333380307735679</v>
      </c>
      <c r="E289" s="18" t="n">
        <v>0.2501286677337255</v>
      </c>
      <c r="F289" s="19">
        <f>E289*phi</f>
        <v/>
      </c>
    </row>
    <row r="290">
      <c r="A290" s="5" t="inlineStr">
        <is>
          <t>Energia elétrica e combustível</t>
        </is>
      </c>
      <c r="B290" s="5" t="inlineStr">
        <is>
          <t>Energia</t>
        </is>
      </c>
      <c r="C290" s="5" t="inlineStr">
        <is>
          <t>RJ</t>
        </is>
      </c>
      <c r="D290" s="17" t="n">
        <v>0.1608176425623702</v>
      </c>
      <c r="E290" s="18" t="n">
        <v>6.351284894904008</v>
      </c>
      <c r="F290" s="19">
        <f>E290*phi</f>
        <v/>
      </c>
    </row>
    <row r="291">
      <c r="A291" s="5" t="inlineStr">
        <is>
          <t>Energia elétrica e combustível</t>
        </is>
      </c>
      <c r="B291" s="5" t="inlineStr">
        <is>
          <t>Energia</t>
        </is>
      </c>
      <c r="C291" s="5" t="inlineStr">
        <is>
          <t>SP</t>
        </is>
      </c>
      <c r="D291" s="17" t="n">
        <v>0.2231207930576718</v>
      </c>
      <c r="E291" s="18" t="n">
        <v>8.8118672808961</v>
      </c>
      <c r="F291" s="19">
        <f>E291*phi</f>
        <v/>
      </c>
    </row>
    <row r="292">
      <c r="A292" s="5" t="inlineStr">
        <is>
          <t>Energia elétrica e combustível</t>
        </is>
      </c>
      <c r="B292" s="5" t="inlineStr">
        <is>
          <t>Energia</t>
        </is>
      </c>
      <c r="C292" s="5" t="inlineStr">
        <is>
          <t>PR</t>
        </is>
      </c>
      <c r="D292" s="17" t="n">
        <v>0.07985063530189375</v>
      </c>
      <c r="E292" s="18" t="n">
        <v>3.153597613798599</v>
      </c>
      <c r="F292" s="19">
        <f>E292*phi</f>
        <v/>
      </c>
    </row>
    <row r="293">
      <c r="A293" s="5" t="inlineStr">
        <is>
          <t>Energia elétrica e combustível</t>
        </is>
      </c>
      <c r="B293" s="5" t="inlineStr">
        <is>
          <t>Energia</t>
        </is>
      </c>
      <c r="C293" s="5" t="inlineStr">
        <is>
          <t>SC</t>
        </is>
      </c>
      <c r="D293" s="17" t="n">
        <v>0.150903386561158</v>
      </c>
      <c r="E293" s="18" t="n">
        <v>5.959734170857739</v>
      </c>
      <c r="F293" s="19">
        <f>E293*phi</f>
        <v/>
      </c>
    </row>
    <row r="294">
      <c r="A294" s="5" t="inlineStr">
        <is>
          <t>Energia elétrica e combustível</t>
        </is>
      </c>
      <c r="B294" s="5" t="inlineStr">
        <is>
          <t>Energia</t>
        </is>
      </c>
      <c r="C294" s="5" t="inlineStr">
        <is>
          <t>RS</t>
        </is>
      </c>
      <c r="D294" s="17" t="n">
        <v>0.1692155420520603</v>
      </c>
      <c r="E294" s="18" t="n">
        <v>6.682949078807868</v>
      </c>
      <c r="F294" s="19">
        <f>E294*phi</f>
        <v/>
      </c>
    </row>
    <row r="295">
      <c r="A295" s="5" t="inlineStr">
        <is>
          <t>Energia elétrica e combustível</t>
        </is>
      </c>
      <c r="B295" s="5" t="inlineStr">
        <is>
          <t>Energia</t>
        </is>
      </c>
      <c r="C295" s="5" t="inlineStr">
        <is>
          <t>MS</t>
        </is>
      </c>
      <c r="D295" s="17" t="n">
        <v>0.01361156663547817</v>
      </c>
      <c r="E295" s="18" t="n">
        <v>0.5375712278232373</v>
      </c>
      <c r="F295" s="19">
        <f>E295*phi</f>
        <v/>
      </c>
    </row>
    <row r="296">
      <c r="A296" s="5" t="inlineStr">
        <is>
          <t>Energia elétrica e combustível</t>
        </is>
      </c>
      <c r="B296" s="5" t="inlineStr">
        <is>
          <t>Energia</t>
        </is>
      </c>
      <c r="C296" s="5" t="inlineStr">
        <is>
          <t>MT</t>
        </is>
      </c>
      <c r="D296" s="17" t="n">
        <v>0.002318856305894108</v>
      </c>
      <c r="E296" s="18" t="n">
        <v>0.09158023208409041</v>
      </c>
      <c r="F296" s="19">
        <f>E296*phi</f>
        <v/>
      </c>
    </row>
    <row r="297">
      <c r="A297" s="5" t="inlineStr">
        <is>
          <t>Energia elétrica e combustível</t>
        </is>
      </c>
      <c r="B297" s="5" t="inlineStr">
        <is>
          <t>Energia</t>
        </is>
      </c>
      <c r="C297" s="5" t="inlineStr">
        <is>
          <t>GO</t>
        </is>
      </c>
      <c r="D297" s="17" t="n">
        <v>0.02781844697755955</v>
      </c>
      <c r="E297" s="18" t="n">
        <v>1.098653600892942</v>
      </c>
      <c r="F297" s="19">
        <f>E297*phi</f>
        <v/>
      </c>
    </row>
    <row r="298">
      <c r="A298" s="5" t="inlineStr">
        <is>
          <t>Energia elétrica e combustível</t>
        </is>
      </c>
      <c r="B298" s="5" t="inlineStr">
        <is>
          <t>Energia</t>
        </is>
      </c>
      <c r="C298" s="5" t="inlineStr">
        <is>
          <t>DF</t>
        </is>
      </c>
      <c r="D298" s="17" t="n">
        <v>7.896658399875913e-05</v>
      </c>
      <c r="E298" s="18" t="n">
        <v>0.003118683150444608</v>
      </c>
      <c r="F298" s="19">
        <f>E298*phi</f>
        <v/>
      </c>
    </row>
    <row r="299">
      <c r="A299" s="5" t="inlineStr">
        <is>
          <t>Água</t>
        </is>
      </c>
      <c r="B299" s="5" t="inlineStr">
        <is>
          <t>Água</t>
        </is>
      </c>
      <c r="C299" s="5" t="inlineStr">
        <is>
          <t>PB</t>
        </is>
      </c>
      <c r="D299" s="17" t="n">
        <v>6.339803838040603e-09</v>
      </c>
      <c r="E299" s="18" t="n">
        <v>1.232401470211903e-08</v>
      </c>
      <c r="F299" s="19">
        <f>E299*phi</f>
        <v/>
      </c>
    </row>
    <row r="300">
      <c r="A300" s="5" t="inlineStr">
        <is>
          <t>Água</t>
        </is>
      </c>
      <c r="B300" s="5" t="inlineStr">
        <is>
          <t>Água</t>
        </is>
      </c>
      <c r="C300" s="5" t="inlineStr">
        <is>
          <t>PE</t>
        </is>
      </c>
      <c r="D300" s="17" t="n">
        <v>9.346977608387274e-07</v>
      </c>
      <c r="E300" s="18" t="n">
        <v>1.816969300768521e-06</v>
      </c>
      <c r="F300" s="19">
        <f>E300*phi</f>
        <v/>
      </c>
    </row>
    <row r="301">
      <c r="A301" s="5" t="inlineStr">
        <is>
          <t>Água</t>
        </is>
      </c>
      <c r="B301" s="5" t="inlineStr">
        <is>
          <t>Água</t>
        </is>
      </c>
      <c r="C301" s="5" t="inlineStr">
        <is>
          <t>BA</t>
        </is>
      </c>
      <c r="D301" s="17" t="n">
        <v>2.172555448061623e-07</v>
      </c>
      <c r="E301" s="18" t="n">
        <v>4.223254530751425e-07</v>
      </c>
      <c r="F301" s="19">
        <f>E301*phi</f>
        <v/>
      </c>
    </row>
    <row r="302">
      <c r="A302" s="5" t="inlineStr">
        <is>
          <t>Água</t>
        </is>
      </c>
      <c r="B302" s="5" t="inlineStr">
        <is>
          <t>Água</t>
        </is>
      </c>
      <c r="C302" s="5" t="inlineStr">
        <is>
          <t>SP</t>
        </is>
      </c>
      <c r="D302" s="17" t="n">
        <v>0.002908522687512899</v>
      </c>
      <c r="E302" s="18" t="n">
        <v>0.005653909376072113</v>
      </c>
      <c r="F302" s="19">
        <f>E302*phi</f>
        <v/>
      </c>
    </row>
    <row r="303">
      <c r="A303" s="5" t="inlineStr">
        <is>
          <t>Água</t>
        </is>
      </c>
      <c r="B303" s="5" t="inlineStr">
        <is>
          <t>Água</t>
        </is>
      </c>
      <c r="C303" s="5" t="inlineStr">
        <is>
          <t>PR</t>
        </is>
      </c>
      <c r="D303" s="17" t="n">
        <v>1.028872263738081e-05</v>
      </c>
      <c r="E303" s="18" t="n">
        <v>2.000036157085496e-05</v>
      </c>
      <c r="F303" s="19">
        <f>E303*phi</f>
        <v/>
      </c>
    </row>
    <row r="304">
      <c r="A304" s="5" t="inlineStr">
        <is>
          <t>Água</t>
        </is>
      </c>
      <c r="B304" s="5" t="inlineStr">
        <is>
          <t>Água</t>
        </is>
      </c>
      <c r="C304" s="5" t="inlineStr">
        <is>
          <t>SC</t>
        </is>
      </c>
      <c r="D304" s="17" t="n">
        <v>0.001805336602237235</v>
      </c>
      <c r="E304" s="18" t="n">
        <v>0.003509413760524433</v>
      </c>
      <c r="F304" s="19">
        <f>E304*phi</f>
        <v/>
      </c>
    </row>
    <row r="305">
      <c r="A305" s="5" t="inlineStr">
        <is>
          <t>Água</t>
        </is>
      </c>
      <c r="B305" s="5" t="inlineStr">
        <is>
          <t>Água</t>
        </is>
      </c>
      <c r="C305" s="5" t="inlineStr">
        <is>
          <t>RS</t>
        </is>
      </c>
      <c r="D305" s="17" t="n">
        <v>0.9952746928588398</v>
      </c>
      <c r="E305" s="18" t="n">
        <v>1.934725467977609</v>
      </c>
      <c r="F305" s="19">
        <f>E305*phi</f>
        <v/>
      </c>
    </row>
    <row r="306">
      <c r="A306" s="5" t="inlineStr">
        <is>
          <t>Água</t>
        </is>
      </c>
      <c r="B306" s="5" t="inlineStr">
        <is>
          <t>Água</t>
        </is>
      </c>
      <c r="C306" s="5" t="inlineStr">
        <is>
          <t>GO</t>
        </is>
      </c>
      <c r="D306" s="17" t="n">
        <v>8.35663189364718e-10</v>
      </c>
      <c r="E306" s="18" t="n">
        <v>1.624454903471181e-09</v>
      </c>
      <c r="F306" s="19">
        <f>E306*phi</f>
        <v/>
      </c>
    </row>
    <row r="307">
      <c r="A307" s="5" t="inlineStr">
        <is>
          <t>Frete interno</t>
        </is>
      </c>
      <c r="B307" s="5" t="inlineStr">
        <is>
          <t>Frete interno</t>
        </is>
      </c>
      <c r="C307" s="5" t="inlineStr">
        <is>
          <t>RO</t>
        </is>
      </c>
      <c r="D307" s="17" t="n">
        <v>0.002372490951905737</v>
      </c>
      <c r="E307" s="18" t="n">
        <v>0.1221832840231455</v>
      </c>
      <c r="F307" s="19">
        <f>E307*phi</f>
        <v/>
      </c>
    </row>
    <row r="308">
      <c r="A308" s="5" t="inlineStr">
        <is>
          <t>Frete interno</t>
        </is>
      </c>
      <c r="B308" s="5" t="inlineStr">
        <is>
          <t>Frete interno</t>
        </is>
      </c>
      <c r="C308" s="5" t="inlineStr">
        <is>
          <t>AC</t>
        </is>
      </c>
      <c r="D308" s="17" t="n">
        <v>0.0004673640508148632</v>
      </c>
      <c r="E308" s="18" t="n">
        <v>0.02406924861696546</v>
      </c>
      <c r="F308" s="19">
        <f>E308*phi</f>
        <v/>
      </c>
    </row>
    <row r="309">
      <c r="A309" s="5" t="inlineStr">
        <is>
          <t>Frete interno</t>
        </is>
      </c>
      <c r="B309" s="5" t="inlineStr">
        <is>
          <t>Frete interno</t>
        </is>
      </c>
      <c r="C309" s="5" t="inlineStr">
        <is>
          <t>AM</t>
        </is>
      </c>
      <c r="D309" s="17" t="n">
        <v>0.006487023801457491</v>
      </c>
      <c r="E309" s="18" t="n">
        <v>0.3340817257750608</v>
      </c>
      <c r="F309" s="19">
        <f>E309*phi</f>
        <v/>
      </c>
    </row>
    <row r="310">
      <c r="A310" s="5" t="inlineStr">
        <is>
          <t>Frete interno</t>
        </is>
      </c>
      <c r="B310" s="5" t="inlineStr">
        <is>
          <t>Frete interno</t>
        </is>
      </c>
      <c r="C310" s="5" t="inlineStr">
        <is>
          <t>RR</t>
        </is>
      </c>
      <c r="D310" s="17" t="n">
        <v>0.0003105122004900698</v>
      </c>
      <c r="E310" s="18" t="n">
        <v>0.01599137832523859</v>
      </c>
      <c r="F310" s="19">
        <f>E310*phi</f>
        <v/>
      </c>
    </row>
    <row r="311">
      <c r="A311" s="5" t="inlineStr">
        <is>
          <t>Frete interno</t>
        </is>
      </c>
      <c r="B311" s="5" t="inlineStr">
        <is>
          <t>Frete interno</t>
        </is>
      </c>
      <c r="C311" s="5" t="inlineStr">
        <is>
          <t>PA</t>
        </is>
      </c>
      <c r="D311" s="17" t="n">
        <v>0.005475009805041875</v>
      </c>
      <c r="E311" s="18" t="n">
        <v>0.2819630049596566</v>
      </c>
      <c r="F311" s="19">
        <f>E311*phi</f>
        <v/>
      </c>
    </row>
    <row r="312">
      <c r="A312" s="5" t="inlineStr">
        <is>
          <t>Frete interno</t>
        </is>
      </c>
      <c r="B312" s="5" t="inlineStr">
        <is>
          <t>Frete interno</t>
        </is>
      </c>
      <c r="C312" s="5" t="inlineStr">
        <is>
          <t>AP</t>
        </is>
      </c>
      <c r="D312" s="17" t="n">
        <v>0.0004113115852769642</v>
      </c>
      <c r="E312" s="18" t="n">
        <v>0.02118254664176366</v>
      </c>
      <c r="F312" s="19">
        <f>E312*phi</f>
        <v/>
      </c>
    </row>
    <row r="313">
      <c r="A313" s="5" t="inlineStr">
        <is>
          <t>Frete interno</t>
        </is>
      </c>
      <c r="B313" s="5" t="inlineStr">
        <is>
          <t>Frete interno</t>
        </is>
      </c>
      <c r="C313" s="5" t="inlineStr">
        <is>
          <t>TO</t>
        </is>
      </c>
      <c r="D313" s="17" t="n">
        <v>0.002185151114694867</v>
      </c>
      <c r="E313" s="18" t="n">
        <v>0.1125352824067856</v>
      </c>
      <c r="F313" s="19">
        <f>E313*phi</f>
        <v/>
      </c>
    </row>
    <row r="314">
      <c r="A314" s="5" t="inlineStr">
        <is>
          <t>Frete interno</t>
        </is>
      </c>
      <c r="B314" s="5" t="inlineStr">
        <is>
          <t>Frete interno</t>
        </is>
      </c>
      <c r="C314" s="5" t="inlineStr">
        <is>
          <t>MA</t>
        </is>
      </c>
      <c r="D314" s="17" t="n">
        <v>0.004387361660087673</v>
      </c>
      <c r="E314" s="18" t="n">
        <v>0.2259491254945152</v>
      </c>
      <c r="F314" s="19">
        <f>E314*phi</f>
        <v/>
      </c>
    </row>
    <row r="315">
      <c r="A315" s="5" t="inlineStr">
        <is>
          <t>Frete interno</t>
        </is>
      </c>
      <c r="B315" s="5" t="inlineStr">
        <is>
          <t>Frete interno</t>
        </is>
      </c>
      <c r="C315" s="5" t="inlineStr">
        <is>
          <t>PI</t>
        </is>
      </c>
      <c r="D315" s="17" t="n">
        <v>0.001752561939356353</v>
      </c>
      <c r="E315" s="18" t="n">
        <v>0.09025693987685218</v>
      </c>
      <c r="F315" s="19">
        <f>E315*phi</f>
        <v/>
      </c>
    </row>
    <row r="316">
      <c r="A316" s="5" t="inlineStr">
        <is>
          <t>Frete interno</t>
        </is>
      </c>
      <c r="B316" s="5" t="inlineStr">
        <is>
          <t>Frete interno</t>
        </is>
      </c>
      <c r="C316" s="5" t="inlineStr">
        <is>
          <t>CE</t>
        </is>
      </c>
      <c r="D316" s="17" t="n">
        <v>0.007240108185511958</v>
      </c>
      <c r="E316" s="18" t="n">
        <v>0.3728655715538658</v>
      </c>
      <c r="F316" s="19">
        <f>E316*phi</f>
        <v/>
      </c>
    </row>
    <row r="317">
      <c r="A317" s="5" t="inlineStr">
        <is>
          <t>Frete interno</t>
        </is>
      </c>
      <c r="B317" s="5" t="inlineStr">
        <is>
          <t>Frete interno</t>
        </is>
      </c>
      <c r="C317" s="5" t="inlineStr">
        <is>
          <t>RN</t>
        </is>
      </c>
      <c r="D317" s="17" t="n">
        <v>0.001933228531382323</v>
      </c>
      <c r="E317" s="18" t="n">
        <v>0.09956126936618964</v>
      </c>
      <c r="F317" s="19">
        <f>E317*phi</f>
        <v/>
      </c>
    </row>
    <row r="318">
      <c r="A318" s="5" t="inlineStr">
        <is>
          <t>Frete interno</t>
        </is>
      </c>
      <c r="B318" s="5" t="inlineStr">
        <is>
          <t>Frete interno</t>
        </is>
      </c>
      <c r="C318" s="5" t="inlineStr">
        <is>
          <t>PB</t>
        </is>
      </c>
      <c r="D318" s="17" t="n">
        <v>0.001916274782419939</v>
      </c>
      <c r="E318" s="18" t="n">
        <v>0.09868815129462685</v>
      </c>
      <c r="F318" s="19">
        <f>E318*phi</f>
        <v/>
      </c>
    </row>
    <row r="319">
      <c r="A319" s="5" t="inlineStr">
        <is>
          <t>Frete interno</t>
        </is>
      </c>
      <c r="B319" s="5" t="inlineStr">
        <is>
          <t>Frete interno</t>
        </is>
      </c>
      <c r="C319" s="5" t="inlineStr">
        <is>
          <t>PE</t>
        </is>
      </c>
      <c r="D319" s="17" t="n">
        <v>0.0123454960902774</v>
      </c>
      <c r="E319" s="18" t="n">
        <v>0.635793048649286</v>
      </c>
      <c r="F319" s="19">
        <f>E319*phi</f>
        <v/>
      </c>
    </row>
    <row r="320">
      <c r="A320" s="5" t="inlineStr">
        <is>
          <t>Frete interno</t>
        </is>
      </c>
      <c r="B320" s="5" t="inlineStr">
        <is>
          <t>Frete interno</t>
        </is>
      </c>
      <c r="C320" s="5" t="inlineStr">
        <is>
          <t>AL</t>
        </is>
      </c>
      <c r="D320" s="17" t="n">
        <v>0.001894327671026612</v>
      </c>
      <c r="E320" s="18" t="n">
        <v>0.09755787505787049</v>
      </c>
      <c r="F320" s="19">
        <f>E320*phi</f>
        <v/>
      </c>
    </row>
    <row r="321">
      <c r="A321" s="5" t="inlineStr">
        <is>
          <t>Frete interno</t>
        </is>
      </c>
      <c r="B321" s="5" t="inlineStr">
        <is>
          <t>Frete interno</t>
        </is>
      </c>
      <c r="C321" s="5" t="inlineStr">
        <is>
          <t>SE</t>
        </is>
      </c>
      <c r="D321" s="17" t="n">
        <v>0.002128527050307844</v>
      </c>
      <c r="E321" s="18" t="n">
        <v>0.109619143090854</v>
      </c>
      <c r="F321" s="19">
        <f>E321*phi</f>
        <v/>
      </c>
    </row>
    <row r="322">
      <c r="A322" s="5" t="inlineStr">
        <is>
          <t>Frete interno</t>
        </is>
      </c>
      <c r="B322" s="5" t="inlineStr">
        <is>
          <t>Frete interno</t>
        </is>
      </c>
      <c r="C322" s="5" t="inlineStr">
        <is>
          <t>BA</t>
        </is>
      </c>
      <c r="D322" s="17" t="n">
        <v>0.0251705289999597</v>
      </c>
      <c r="E322" s="18" t="n">
        <v>1.296282243497925</v>
      </c>
      <c r="F322" s="19">
        <f>E322*phi</f>
        <v/>
      </c>
    </row>
    <row r="323">
      <c r="A323" s="5" t="inlineStr">
        <is>
          <t>Frete interno</t>
        </is>
      </c>
      <c r="B323" s="5" t="inlineStr">
        <is>
          <t>Frete interno</t>
        </is>
      </c>
      <c r="C323" s="5" t="inlineStr">
        <is>
          <t>MG</t>
        </is>
      </c>
      <c r="D323" s="17" t="n">
        <v>0.08296710277745896</v>
      </c>
      <c r="E323" s="18" t="n">
        <v>4.272805793039137</v>
      </c>
      <c r="F323" s="19">
        <f>E323*phi</f>
        <v/>
      </c>
    </row>
    <row r="324">
      <c r="A324" s="5" t="inlineStr">
        <is>
          <t>Frete interno</t>
        </is>
      </c>
      <c r="B324" s="5" t="inlineStr">
        <is>
          <t>Frete interno</t>
        </is>
      </c>
      <c r="C324" s="5" t="inlineStr">
        <is>
          <t>ES</t>
        </is>
      </c>
      <c r="D324" s="17" t="n">
        <v>0.01519189210848808</v>
      </c>
      <c r="E324" s="18" t="n">
        <v>0.7823824435871363</v>
      </c>
      <c r="F324" s="19">
        <f>E324*phi</f>
        <v/>
      </c>
    </row>
    <row r="325">
      <c r="A325" s="5" t="inlineStr">
        <is>
          <t>Frete interno</t>
        </is>
      </c>
      <c r="B325" s="5" t="inlineStr">
        <is>
          <t>Frete interno</t>
        </is>
      </c>
      <c r="C325" s="5" t="inlineStr">
        <is>
          <t>RJ</t>
        </is>
      </c>
      <c r="D325" s="17" t="n">
        <v>0.06058237922752919</v>
      </c>
      <c r="E325" s="18" t="n">
        <v>3.119992530217753</v>
      </c>
      <c r="F325" s="19">
        <f>E325*phi</f>
        <v/>
      </c>
    </row>
    <row r="326">
      <c r="A326" s="5" t="inlineStr">
        <is>
          <t>Frete interno</t>
        </is>
      </c>
      <c r="B326" s="5" t="inlineStr">
        <is>
          <t>Frete interno</t>
        </is>
      </c>
      <c r="C326" s="5" t="inlineStr">
        <is>
          <t>SP</t>
        </is>
      </c>
      <c r="D326" s="17" t="n">
        <v>0.2980785633302621</v>
      </c>
      <c r="E326" s="18" t="n">
        <v>15.3510460115085</v>
      </c>
      <c r="F326" s="19">
        <f>E326*phi</f>
        <v/>
      </c>
    </row>
    <row r="327">
      <c r="A327" s="5" t="inlineStr">
        <is>
          <t>Frete interno</t>
        </is>
      </c>
      <c r="B327" s="5" t="inlineStr">
        <is>
          <t>Frete interno</t>
        </is>
      </c>
      <c r="C327" s="5" t="inlineStr">
        <is>
          <t>PR</t>
        </is>
      </c>
      <c r="D327" s="17" t="n">
        <v>0.1028143551636476</v>
      </c>
      <c r="E327" s="18" t="n">
        <v>5.294939290927851</v>
      </c>
      <c r="F327" s="19">
        <f>E327*phi</f>
        <v/>
      </c>
    </row>
    <row r="328">
      <c r="A328" s="5" t="inlineStr">
        <is>
          <t>Frete interno</t>
        </is>
      </c>
      <c r="B328" s="5" t="inlineStr">
        <is>
          <t>Frete interno</t>
        </is>
      </c>
      <c r="C328" s="5" t="inlineStr">
        <is>
          <t>SC</t>
        </is>
      </c>
      <c r="D328" s="17" t="n">
        <v>0.09394650918037503</v>
      </c>
      <c r="E328" s="18" t="n">
        <v>4.838245222789315</v>
      </c>
      <c r="F328" s="19">
        <f>E328*phi</f>
        <v/>
      </c>
    </row>
    <row r="329">
      <c r="A329" s="5" t="inlineStr">
        <is>
          <t>Frete interno</t>
        </is>
      </c>
      <c r="B329" s="5" t="inlineStr">
        <is>
          <t>Frete interno</t>
        </is>
      </c>
      <c r="C329" s="5" t="inlineStr">
        <is>
          <t>RS</t>
        </is>
      </c>
      <c r="D329" s="17" t="n">
        <v>0.1693043410587551</v>
      </c>
      <c r="E329" s="18" t="n">
        <v>8.719173564525889</v>
      </c>
      <c r="F329" s="19">
        <f>E329*phi</f>
        <v/>
      </c>
    </row>
    <row r="330">
      <c r="A330" s="5" t="inlineStr">
        <is>
          <t>Frete interno</t>
        </is>
      </c>
      <c r="B330" s="5" t="inlineStr">
        <is>
          <t>Frete interno</t>
        </is>
      </c>
      <c r="C330" s="5" t="inlineStr">
        <is>
          <t>MS</t>
        </is>
      </c>
      <c r="D330" s="17" t="n">
        <v>0.01943786223322582</v>
      </c>
      <c r="E330" s="18" t="n">
        <v>1.00104990501113</v>
      </c>
      <c r="F330" s="19">
        <f>E330*phi</f>
        <v/>
      </c>
    </row>
    <row r="331">
      <c r="A331" s="5" t="inlineStr">
        <is>
          <t>Frete interno</t>
        </is>
      </c>
      <c r="B331" s="5" t="inlineStr">
        <is>
          <t>Frete interno</t>
        </is>
      </c>
      <c r="C331" s="5" t="inlineStr">
        <is>
          <t>MT</t>
        </is>
      </c>
      <c r="D331" s="17" t="n">
        <v>0.04306038800766388</v>
      </c>
      <c r="E331" s="18" t="n">
        <v>2.21760998239469</v>
      </c>
      <c r="F331" s="19">
        <f>E331*phi</f>
        <v/>
      </c>
    </row>
    <row r="332">
      <c r="A332" s="5" t="inlineStr">
        <is>
          <t>Frete interno</t>
        </is>
      </c>
      <c r="B332" s="5" t="inlineStr">
        <is>
          <t>Frete interno</t>
        </is>
      </c>
      <c r="C332" s="5" t="inlineStr">
        <is>
          <t>GO</t>
        </is>
      </c>
      <c r="D332" s="17" t="n">
        <v>0.02997962238975586</v>
      </c>
      <c r="E332" s="18" t="n">
        <v>1.543950553072427</v>
      </c>
      <c r="F332" s="19">
        <f>E332*phi</f>
        <v/>
      </c>
    </row>
    <row r="333">
      <c r="A333" s="5" t="inlineStr">
        <is>
          <t>Frete interno</t>
        </is>
      </c>
      <c r="B333" s="5" t="inlineStr">
        <is>
          <t>Frete interno</t>
        </is>
      </c>
      <c r="C333" s="5" t="inlineStr">
        <is>
          <t>DF</t>
        </is>
      </c>
      <c r="D333" s="17" t="n">
        <v>0.008159706102826597</v>
      </c>
      <c r="E333" s="18" t="n">
        <v>0.4202248642955698</v>
      </c>
      <c r="F333" s="19">
        <f>E333*phi</f>
        <v/>
      </c>
    </row>
    <row r="334">
      <c r="A334" s="5" t="inlineStr">
        <is>
          <t>Manutenção</t>
        </is>
      </c>
      <c r="B334" s="5" t="inlineStr">
        <is>
          <t>Manutenção</t>
        </is>
      </c>
      <c r="C334" s="5" t="inlineStr">
        <is>
          <t>RS</t>
        </is>
      </c>
      <c r="D334" s="17" t="n">
        <v>1</v>
      </c>
      <c r="E334" s="18" t="n">
        <v>119.33132224</v>
      </c>
      <c r="F334" s="19">
        <f>E334*phi</f>
        <v/>
      </c>
    </row>
    <row r="335">
      <c r="A335" s="5" t="inlineStr">
        <is>
          <t>Folha no RS</t>
        </is>
      </c>
      <c r="B335" s="5" t="inlineStr">
        <is>
          <t>Folha</t>
        </is>
      </c>
      <c r="C335" s="5" t="inlineStr">
        <is>
          <t>RS</t>
        </is>
      </c>
      <c r="D335" s="17" t="n">
        <v>0.4623467600700525</v>
      </c>
      <c r="E335" s="18" t="n">
        <v>52.8</v>
      </c>
      <c r="F335" s="19">
        <f>E335*phi</f>
        <v/>
      </c>
    </row>
    <row r="336">
      <c r="A336" s="5" t="inlineStr">
        <is>
          <t>Folha em Santa Catarina</t>
        </is>
      </c>
      <c r="B336" s="5" t="inlineStr">
        <is>
          <t>Folha</t>
        </is>
      </c>
      <c r="C336" s="5" t="inlineStr">
        <is>
          <t>SC</t>
        </is>
      </c>
      <c r="D336" s="17" t="n">
        <v>0.2887397029253422</v>
      </c>
      <c r="E336" s="18" t="n">
        <v>32.97407407407407</v>
      </c>
      <c r="F336" s="19">
        <f>E336*phi</f>
        <v/>
      </c>
    </row>
    <row r="337">
      <c r="A337" s="5" t="inlineStr">
        <is>
          <t>Folha no Paraná</t>
        </is>
      </c>
      <c r="B337" s="5" t="inlineStr">
        <is>
          <t>Folha</t>
        </is>
      </c>
      <c r="C337" s="5" t="inlineStr">
        <is>
          <t>PR</t>
        </is>
      </c>
      <c r="D337" s="17" t="n">
        <v>0.2489135370046053</v>
      </c>
      <c r="E337" s="18" t="n">
        <v>28.42592592592592</v>
      </c>
      <c r="F337" s="19">
        <f>E337*phi</f>
        <v/>
      </c>
    </row>
    <row r="338">
      <c r="A338" s="4" t="inlineStr">
        <is>
          <t>Soma do vetor</t>
        </is>
      </c>
      <c r="E338" s="13">
        <f>SUM(E8:E337)</f>
        <v/>
      </c>
    </row>
  </sheetData>
  <autoFilter ref="A7:F337"/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7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  <col width="18" customWidth="1" min="4" max="4"/>
    <col width="18" customWidth="1" min="5" max="5"/>
    <col width="14" customWidth="1" min="6" max="6"/>
    <col width="18" customWidth="1" min="7" max="7"/>
  </cols>
  <sheetData>
    <row r="1" ht="24" customHeight="1">
      <c r="A1" s="1" t="inlineStr">
        <is>
          <t>Indireto no RS por atividade — MIP Ipea</t>
        </is>
      </c>
    </row>
    <row r="2" ht="18" customHeight="1">
      <c r="A2" s="2" t="inlineStr">
        <is>
          <t>R$ milhões de 2025. O total é a soma. Esse total é o indireto que cai no RS.</t>
        </is>
      </c>
    </row>
    <row r="3" ht="32" customHeight="1">
      <c r="A3" s="2" t="inlineStr">
        <is>
          <t>Coeficiente de valor adicionado, remuneração e fator trabalho da própria MIP, sobre x = (I−A)⁻¹ f.</t>
        </is>
      </c>
    </row>
    <row r="6">
      <c r="A6" s="3" t="inlineStr">
        <is>
          <t>Código</t>
        </is>
      </c>
      <c r="B6" s="3" t="inlineStr">
        <is>
          <t>Atividade</t>
        </is>
      </c>
      <c r="C6" s="3" t="inlineStr">
        <is>
          <t>Grupo espacial</t>
        </is>
      </c>
      <c r="D6" s="3" t="inlineStr">
        <is>
          <t>VA indireto</t>
        </is>
      </c>
      <c r="E6" s="3" t="inlineStr">
        <is>
          <t>Remuneração</t>
        </is>
      </c>
      <c r="F6" s="3" t="inlineStr">
        <is>
          <t>Ocupações</t>
        </is>
      </c>
      <c r="G6" s="3" t="inlineStr">
        <is>
          <t>Produção</t>
        </is>
      </c>
    </row>
    <row r="7">
      <c r="A7" s="5" t="inlineStr">
        <is>
          <t>A00</t>
        </is>
      </c>
      <c r="B7" s="5" t="inlineStr">
        <is>
          <t>Agricultura, inclusive o apoio à agricultura e a pós-colheita</t>
        </is>
      </c>
      <c r="C7" s="5" t="inlineStr">
        <is>
          <t>folha</t>
        </is>
      </c>
      <c r="D7" s="18" t="n">
        <v>58.56310065364538</v>
      </c>
      <c r="E7" s="18" t="n">
        <v>9.603285202479304</v>
      </c>
      <c r="F7" s="12" t="n">
        <v>1287.907918001247</v>
      </c>
      <c r="G7" s="18" t="n">
        <v>76.1583612945609</v>
      </c>
    </row>
    <row r="8">
      <c r="A8" s="5" t="inlineStr">
        <is>
          <t>A01</t>
        </is>
      </c>
      <c r="B8" s="5" t="inlineStr">
        <is>
          <t>Pecuária, inclusive o apoio à pecuária</t>
        </is>
      </c>
      <c r="C8" s="5" t="inlineStr">
        <is>
          <t>pecuaria</t>
        </is>
      </c>
      <c r="D8" s="18" t="n">
        <v>0.5974520267443091</v>
      </c>
      <c r="E8" s="18" t="n">
        <v>0.1851474596632583</v>
      </c>
      <c r="F8" s="12" t="n">
        <v>33.82538544714017</v>
      </c>
      <c r="G8" s="18" t="n">
        <v>0.9268904254554658</v>
      </c>
    </row>
    <row r="9">
      <c r="A9" s="5" t="inlineStr">
        <is>
          <t>A02</t>
        </is>
      </c>
      <c r="B9" s="5" t="inlineStr">
        <is>
          <t>Produção florestal; pesca e aquicultura</t>
        </is>
      </c>
      <c r="C9" s="5" t="inlineStr">
        <is>
          <t>madeira</t>
        </is>
      </c>
      <c r="D9" s="18" t="n">
        <v>9.40939056101324</v>
      </c>
      <c r="E9" s="18" t="n">
        <v>0.7469084664560988</v>
      </c>
      <c r="F9" s="12" t="n">
        <v>182.8111815409869</v>
      </c>
      <c r="G9" s="18" t="n">
        <v>11.38074054394331</v>
      </c>
    </row>
    <row r="10">
      <c r="A10" s="5" t="inlineStr">
        <is>
          <t>A03</t>
        </is>
      </c>
      <c r="B10" s="5" t="inlineStr">
        <is>
          <t>Extração de carvão mineral e de minerais não-metálicos</t>
        </is>
      </c>
      <c r="C10" s="5" t="inlineStr">
        <is>
          <t>extrativa</t>
        </is>
      </c>
      <c r="D10" s="18" t="n">
        <v>0.01776239515632368</v>
      </c>
      <c r="E10" s="18" t="n">
        <v>0.008991245542263705</v>
      </c>
      <c r="F10" s="12" t="n">
        <v>0.1775761431699217</v>
      </c>
      <c r="G10" s="18" t="n">
        <v>0.5350974486671105</v>
      </c>
    </row>
    <row r="11">
      <c r="A11" s="5" t="inlineStr">
        <is>
          <t>A04</t>
        </is>
      </c>
      <c r="B11" s="5" t="inlineStr">
        <is>
          <t>Extração de petróleo e gás, inclusive as atividades de apoio</t>
        </is>
      </c>
      <c r="C11" s="5" t="inlineStr">
        <is>
          <t>extrativa</t>
        </is>
      </c>
      <c r="D11" s="18" t="n">
        <v>0.07989937211954505</v>
      </c>
      <c r="E11" s="18" t="n">
        <v>0.01341462562670051</v>
      </c>
      <c r="F11" s="12" t="n">
        <v>0.02739501475305304</v>
      </c>
      <c r="G11" s="18" t="n">
        <v>1.283631897233414</v>
      </c>
    </row>
    <row r="12">
      <c r="A12" s="5" t="inlineStr">
        <is>
          <t>A05</t>
        </is>
      </c>
      <c r="B12" s="5" t="inlineStr">
        <is>
          <t>Extração de minério de ferro, inclusive beneficiamentos e a aglomeração</t>
        </is>
      </c>
      <c r="C12" s="5" t="inlineStr">
        <is>
          <t>extrativa</t>
        </is>
      </c>
      <c r="D12" s="18" t="n">
        <v>0.01324229974471585</v>
      </c>
      <c r="E12" s="18" t="n">
        <v>0.001320885218476331</v>
      </c>
      <c r="F12" s="12" t="n">
        <v>0.0071639188707669</v>
      </c>
      <c r="G12" s="18" t="n">
        <v>0.1740156627396768</v>
      </c>
    </row>
    <row r="13">
      <c r="A13" s="5" t="inlineStr">
        <is>
          <t>A06</t>
        </is>
      </c>
      <c r="B13" s="5" t="inlineStr">
        <is>
          <t>Extração de minerais metálicos não-ferrosos, inclusive beneficiamentos</t>
        </is>
      </c>
      <c r="C13" s="5" t="inlineStr">
        <is>
          <t>extrativa</t>
        </is>
      </c>
      <c r="D13" s="18" t="n">
        <v>0.009989754962388492</v>
      </c>
      <c r="E13" s="18" t="n">
        <v>0.003707757856911561</v>
      </c>
      <c r="F13" s="12" t="n">
        <v>0.02836620617596189</v>
      </c>
      <c r="G13" s="18" t="n">
        <v>0.1509467946364809</v>
      </c>
    </row>
    <row r="14">
      <c r="A14" s="5" t="inlineStr">
        <is>
          <t>A07</t>
        </is>
      </c>
      <c r="B14" s="5" t="inlineStr">
        <is>
          <t>Abate e produtos de carne, inclusive os produtos do laticínio e da pesca</t>
        </is>
      </c>
      <c r="C14" s="5" t="inlineStr">
        <is>
          <t>demais_ind</t>
        </is>
      </c>
      <c r="D14" s="18" t="n">
        <v>0.1480184273437853</v>
      </c>
      <c r="E14" s="18" t="n">
        <v>0.09726759128783533</v>
      </c>
      <c r="F14" s="12" t="n">
        <v>1.70266772953063</v>
      </c>
      <c r="G14" s="18" t="n">
        <v>0.9484194562833438</v>
      </c>
    </row>
    <row r="15">
      <c r="A15" s="5" t="inlineStr">
        <is>
          <t>A08</t>
        </is>
      </c>
      <c r="B15" s="5" t="inlineStr">
        <is>
          <t>Fabricação e refino de açúcar</t>
        </is>
      </c>
      <c r="C15" s="5" t="inlineStr">
        <is>
          <t>demais_ind</t>
        </is>
      </c>
      <c r="D15" s="18" t="n">
        <v>0.1350993745099933</v>
      </c>
      <c r="E15" s="18" t="n">
        <v>0.1393653329168854</v>
      </c>
      <c r="F15" s="12" t="n">
        <v>1.728564923007051</v>
      </c>
      <c r="G15" s="18" t="n">
        <v>0.2293306161256402</v>
      </c>
    </row>
    <row r="16">
      <c r="A16" s="5" t="inlineStr">
        <is>
          <t>A09</t>
        </is>
      </c>
      <c r="B16" s="5" t="inlineStr">
        <is>
          <t>Outros produtos alimentares</t>
        </is>
      </c>
      <c r="C16" s="5" t="inlineStr">
        <is>
          <t>demais_ind</t>
        </is>
      </c>
      <c r="D16" s="18" t="n">
        <v>2.372734260297136</v>
      </c>
      <c r="E16" s="18" t="n">
        <v>1.272899269525734</v>
      </c>
      <c r="F16" s="12" t="n">
        <v>31.81754949460032</v>
      </c>
      <c r="G16" s="18" t="n">
        <v>19.07462391559015</v>
      </c>
    </row>
    <row r="17">
      <c r="A17" s="5" t="inlineStr">
        <is>
          <t>A10</t>
        </is>
      </c>
      <c r="B17" s="5" t="inlineStr">
        <is>
          <t>Fabricação de bebidas</t>
        </is>
      </c>
      <c r="C17" s="5" t="inlineStr">
        <is>
          <t>demais_ind</t>
        </is>
      </c>
      <c r="D17" s="18" t="n">
        <v>0.08195380499812414</v>
      </c>
      <c r="E17" s="18" t="n">
        <v>0.03694231074032291</v>
      </c>
      <c r="F17" s="12" t="n">
        <v>0.4883157341575587</v>
      </c>
      <c r="G17" s="18" t="n">
        <v>0.2435479834393962</v>
      </c>
    </row>
    <row r="18">
      <c r="A18" s="5" t="inlineStr">
        <is>
          <t>A11</t>
        </is>
      </c>
      <c r="B18" s="5" t="inlineStr">
        <is>
          <t>Fabricação de produtos do fumo</t>
        </is>
      </c>
      <c r="C18" s="5" t="inlineStr">
        <is>
          <t>demais_ind</t>
        </is>
      </c>
      <c r="D18" s="18" t="n">
        <v>0.001030255591841888</v>
      </c>
      <c r="E18" s="18" t="n">
        <v>0.0004921181791293891</v>
      </c>
      <c r="F18" s="12" t="n">
        <v>0.003524083619330835</v>
      </c>
      <c r="G18" s="18" t="n">
        <v>0.02241771744451891</v>
      </c>
    </row>
    <row r="19">
      <c r="A19" s="5" t="inlineStr">
        <is>
          <t>A12</t>
        </is>
      </c>
      <c r="B19" s="5" t="inlineStr">
        <is>
          <t>Fabricação de produtos têxteis</t>
        </is>
      </c>
      <c r="C19" s="5" t="inlineStr">
        <is>
          <t>demais_ind</t>
        </is>
      </c>
      <c r="D19" s="18" t="n">
        <v>0.6947048924581632</v>
      </c>
      <c r="E19" s="18" t="n">
        <v>0.487553218599354</v>
      </c>
      <c r="F19" s="12" t="n">
        <v>18.85509879573379</v>
      </c>
      <c r="G19" s="18" t="n">
        <v>1.366880529274239</v>
      </c>
    </row>
    <row r="20">
      <c r="A20" s="5" t="inlineStr">
        <is>
          <t>A13</t>
        </is>
      </c>
      <c r="B20" s="5" t="inlineStr">
        <is>
          <t>Confecção de artefatos do vestuário e acessórios</t>
        </is>
      </c>
      <c r="C20" s="5" t="inlineStr">
        <is>
          <t>demais_ind</t>
        </is>
      </c>
      <c r="D20" s="18" t="n">
        <v>0.1539220639190036</v>
      </c>
      <c r="E20" s="18" t="n">
        <v>0.1004850313776258</v>
      </c>
      <c r="F20" s="12" t="n">
        <v>6.25957094057078</v>
      </c>
      <c r="G20" s="18" t="n">
        <v>0.2308322044517843</v>
      </c>
    </row>
    <row r="21">
      <c r="A21" s="5" t="inlineStr">
        <is>
          <t>A14</t>
        </is>
      </c>
      <c r="B21" s="5" t="inlineStr">
        <is>
          <t>Fabricação de calçados e de artefatos de couro</t>
        </is>
      </c>
      <c r="C21" s="5" t="inlineStr">
        <is>
          <t>demais_ind</t>
        </is>
      </c>
      <c r="D21" s="18" t="n">
        <v>0.1203142689564055</v>
      </c>
      <c r="E21" s="18" t="n">
        <v>0.08537135795956123</v>
      </c>
      <c r="F21" s="12" t="n">
        <v>2.49441045918142</v>
      </c>
      <c r="G21" s="18" t="n">
        <v>0.8746982736237516</v>
      </c>
    </row>
    <row r="22">
      <c r="A22" s="5" t="inlineStr">
        <is>
          <t>A15</t>
        </is>
      </c>
      <c r="B22" s="5" t="inlineStr">
        <is>
          <t>Fabricação de produtos da madeira</t>
        </is>
      </c>
      <c r="C22" s="5" t="inlineStr">
        <is>
          <t>madeira</t>
        </is>
      </c>
      <c r="D22" s="18" t="n">
        <v>0.8126754205674327</v>
      </c>
      <c r="E22" s="18" t="n">
        <v>0.459173015923975</v>
      </c>
      <c r="F22" s="12" t="n">
        <v>17.92215561213143</v>
      </c>
      <c r="G22" s="18" t="n">
        <v>2.408603690888933</v>
      </c>
    </row>
    <row r="23">
      <c r="A23" s="5" t="inlineStr">
        <is>
          <t>A16</t>
        </is>
      </c>
      <c r="B23" s="5" t="inlineStr">
        <is>
          <t>Fabricação de celulose, papel e produtos de papel</t>
        </is>
      </c>
      <c r="C23" s="5" t="inlineStr">
        <is>
          <t>papel</t>
        </is>
      </c>
      <c r="D23" s="18" t="n">
        <v>323.3382444545732</v>
      </c>
      <c r="E23" s="18" t="n">
        <v>142.7246347768645</v>
      </c>
      <c r="F23" s="12" t="n">
        <v>1414.399844936456</v>
      </c>
      <c r="G23" s="18" t="n">
        <v>775.6477372901741</v>
      </c>
    </row>
    <row r="24">
      <c r="A24" s="5" t="inlineStr">
        <is>
          <t>A17</t>
        </is>
      </c>
      <c r="B24" s="5" t="inlineStr">
        <is>
          <t>Impressão e reprodução de gravações</t>
        </is>
      </c>
      <c r="C24" s="5" t="inlineStr">
        <is>
          <t>papel</t>
        </is>
      </c>
      <c r="D24" s="18" t="n">
        <v>11.49339274173744</v>
      </c>
      <c r="E24" s="18" t="n">
        <v>6.344890496023477</v>
      </c>
      <c r="F24" s="12" t="n">
        <v>139.3795812008922</v>
      </c>
      <c r="G24" s="18" t="n">
        <v>19.01466521175607</v>
      </c>
    </row>
    <row r="25">
      <c r="A25" s="5" t="inlineStr">
        <is>
          <t>A18</t>
        </is>
      </c>
      <c r="B25" s="5" t="inlineStr">
        <is>
          <t>Refino de petróleo e coquerias</t>
        </is>
      </c>
      <c r="C25" s="5" t="inlineStr">
        <is>
          <t>refino</t>
        </is>
      </c>
      <c r="D25" s="18" t="n">
        <v>7.448788255911764</v>
      </c>
      <c r="E25" s="18" t="n">
        <v>1.564498893886229</v>
      </c>
      <c r="F25" s="12" t="n">
        <v>2.633012847605512</v>
      </c>
      <c r="G25" s="18" t="n">
        <v>88.62587525146243</v>
      </c>
    </row>
    <row r="26">
      <c r="A26" s="5" t="inlineStr">
        <is>
          <t>A19</t>
        </is>
      </c>
      <c r="B26" s="5" t="inlineStr">
        <is>
          <t>Fabricação de biocombustíveis</t>
        </is>
      </c>
      <c r="C26" s="5" t="inlineStr">
        <is>
          <t>refino</t>
        </is>
      </c>
      <c r="D26" s="18" t="n">
        <v>1.059844834991804</v>
      </c>
      <c r="E26" s="18" t="n">
        <v>0.644974993734599</v>
      </c>
      <c r="F26" s="12" t="n">
        <v>6.225741069425425</v>
      </c>
      <c r="G26" s="18" t="n">
        <v>2.756034981985044</v>
      </c>
    </row>
    <row r="27">
      <c r="A27" s="5" t="inlineStr">
        <is>
          <t>A20</t>
        </is>
      </c>
      <c r="B27" s="5" t="inlineStr">
        <is>
          <t>Fabricação de químicos orgânicos e inorgânicos, resinas e elastômeros</t>
        </is>
      </c>
      <c r="C27" s="5" t="inlineStr">
        <is>
          <t>quim</t>
        </is>
      </c>
      <c r="D27" s="18" t="n">
        <v>9.760068193538876</v>
      </c>
      <c r="E27" s="18" t="n">
        <v>4.717341920184</v>
      </c>
      <c r="F27" s="12" t="n">
        <v>23.24529870087317</v>
      </c>
      <c r="G27" s="18" t="n">
        <v>95.77085844614564</v>
      </c>
    </row>
    <row r="28">
      <c r="A28" s="5" t="inlineStr">
        <is>
          <t>A21</t>
        </is>
      </c>
      <c r="B28" s="5" t="inlineStr">
        <is>
          <t>Fabricação de defensivos, desinfestantes, tintas e químicos diversos</t>
        </is>
      </c>
      <c r="C28" s="5" t="inlineStr">
        <is>
          <t>quim</t>
        </is>
      </c>
      <c r="D28" s="18" t="n">
        <v>15.97167635356303</v>
      </c>
      <c r="E28" s="18" t="n">
        <v>9.822601901155338</v>
      </c>
      <c r="F28" s="12" t="n">
        <v>61.54972168586806</v>
      </c>
      <c r="G28" s="18" t="n">
        <v>55.23913536061434</v>
      </c>
    </row>
    <row r="29">
      <c r="A29" s="5" t="inlineStr">
        <is>
          <t>A22</t>
        </is>
      </c>
      <c r="B29" s="5" t="inlineStr">
        <is>
          <t>Fabricação de produtos de limpeza, cosméticos/perfumaria e higiene pessoal</t>
        </is>
      </c>
      <c r="C29" s="5" t="inlineStr">
        <is>
          <t>quim</t>
        </is>
      </c>
      <c r="D29" s="18" t="n">
        <v>1.880817993166342</v>
      </c>
      <c r="E29" s="18" t="n">
        <v>1.180506092047812</v>
      </c>
      <c r="F29" s="12" t="n">
        <v>16.31093553758603</v>
      </c>
      <c r="G29" s="18" t="n">
        <v>4.096322225660989</v>
      </c>
    </row>
    <row r="30">
      <c r="A30" s="5" t="inlineStr">
        <is>
          <t>A23</t>
        </is>
      </c>
      <c r="B30" s="5" t="inlineStr">
        <is>
          <t>Fabricação de produtos farmoquímicos e farmacêuticos</t>
        </is>
      </c>
      <c r="C30" s="5" t="inlineStr">
        <is>
          <t>quim</t>
        </is>
      </c>
      <c r="D30" s="18" t="n">
        <v>0.4076062409097525</v>
      </c>
      <c r="E30" s="18" t="n">
        <v>0.1487413041004142</v>
      </c>
      <c r="F30" s="12" t="n">
        <v>0.8404373951266263</v>
      </c>
      <c r="G30" s="18" t="n">
        <v>0.5879331123737201</v>
      </c>
    </row>
    <row r="31">
      <c r="A31" s="5" t="inlineStr">
        <is>
          <t>A24</t>
        </is>
      </c>
      <c r="B31" s="5" t="inlineStr">
        <is>
          <t>Fabricação de produtos de borracha e de material plástico</t>
        </is>
      </c>
      <c r="C31" s="5" t="inlineStr">
        <is>
          <t>plast</t>
        </is>
      </c>
      <c r="D31" s="18" t="n">
        <v>109.7403890976631</v>
      </c>
      <c r="E31" s="18" t="n">
        <v>84.83455884470045</v>
      </c>
      <c r="F31" s="12" t="n">
        <v>1133.987399810268</v>
      </c>
      <c r="G31" s="18" t="n">
        <v>368.3564972801174</v>
      </c>
    </row>
    <row r="32">
      <c r="A32" s="5" t="inlineStr">
        <is>
          <t>A25</t>
        </is>
      </c>
      <c r="B32" s="5" t="inlineStr">
        <is>
          <t>Fabricação de produtos de minerais não-metálicos</t>
        </is>
      </c>
      <c r="C32" s="5" t="inlineStr">
        <is>
          <t>demais_ind</t>
        </is>
      </c>
      <c r="D32" s="18" t="n">
        <v>2.614280035867896</v>
      </c>
      <c r="E32" s="18" t="n">
        <v>2.022194235443318</v>
      </c>
      <c r="F32" s="12" t="n">
        <v>40.99964032680288</v>
      </c>
      <c r="G32" s="18" t="n">
        <v>6.311601893891325</v>
      </c>
    </row>
    <row r="33">
      <c r="A33" s="5" t="inlineStr">
        <is>
          <t>A26</t>
        </is>
      </c>
      <c r="B33" s="5" t="inlineStr">
        <is>
          <t>Produção de ferro-gusa/ferroligas, siderurgia e tubos de aço sem costura</t>
        </is>
      </c>
      <c r="C33" s="5" t="inlineStr">
        <is>
          <t>demais_ind</t>
        </is>
      </c>
      <c r="D33" s="18" t="n">
        <v>16.97303569503094</v>
      </c>
      <c r="E33" s="18" t="n">
        <v>6.655225776080683</v>
      </c>
      <c r="F33" s="12" t="n">
        <v>42.02006053574991</v>
      </c>
      <c r="G33" s="18" t="n">
        <v>32.0602771525365</v>
      </c>
    </row>
    <row r="34">
      <c r="A34" s="5" t="inlineStr">
        <is>
          <t>A27</t>
        </is>
      </c>
      <c r="B34" s="5" t="inlineStr">
        <is>
          <t>Metalurgia de metais não-ferrosos e a fundição de metais</t>
        </is>
      </c>
      <c r="C34" s="5" t="inlineStr">
        <is>
          <t>demais_ind</t>
        </is>
      </c>
      <c r="D34" s="18" t="n">
        <v>12.37638153018076</v>
      </c>
      <c r="E34" s="18" t="n">
        <v>4.879165430962972</v>
      </c>
      <c r="F34" s="12" t="n">
        <v>53.92296795069822</v>
      </c>
      <c r="G34" s="18" t="n">
        <v>21.99701440206806</v>
      </c>
    </row>
    <row r="35">
      <c r="A35" s="5" t="inlineStr">
        <is>
          <t>A28</t>
        </is>
      </c>
      <c r="B35" s="5" t="inlineStr">
        <is>
          <t>Fabricação de produtos de metal, exceto máquinas e equipamentos</t>
        </is>
      </c>
      <c r="C35" s="5" t="inlineStr">
        <is>
          <t>demais_ind</t>
        </is>
      </c>
      <c r="D35" s="18" t="n">
        <v>52.8272905449305</v>
      </c>
      <c r="E35" s="18" t="n">
        <v>34.92244663621625</v>
      </c>
      <c r="F35" s="12" t="n">
        <v>730.7865979279317</v>
      </c>
      <c r="G35" s="18" t="n">
        <v>182.9736386119964</v>
      </c>
    </row>
    <row r="36">
      <c r="A36" s="5" t="inlineStr">
        <is>
          <t>A29</t>
        </is>
      </c>
      <c r="B36" s="5" t="inlineStr">
        <is>
          <t>Fabricação de equipamentos de informática, produtos eletrônicos e ópticos</t>
        </is>
      </c>
      <c r="C36" s="5" t="inlineStr">
        <is>
          <t>eletro</t>
        </is>
      </c>
      <c r="D36" s="18" t="n">
        <v>375.8857763104903</v>
      </c>
      <c r="E36" s="18" t="n">
        <v>235.530991245836</v>
      </c>
      <c r="F36" s="12" t="n">
        <v>2112.167799548566</v>
      </c>
      <c r="G36" s="18" t="n">
        <v>1017.006113101608</v>
      </c>
    </row>
    <row r="37">
      <c r="A37" s="5" t="inlineStr">
        <is>
          <t>A30</t>
        </is>
      </c>
      <c r="B37" s="5" t="inlineStr">
        <is>
          <t>Fabricação de máquinas e equipamentos elétricos</t>
        </is>
      </c>
      <c r="C37" s="5" t="inlineStr">
        <is>
          <t>eletrico</t>
        </is>
      </c>
      <c r="D37" s="18" t="n">
        <v>308.4160295112227</v>
      </c>
      <c r="E37" s="18" t="n">
        <v>225.2388403603225</v>
      </c>
      <c r="F37" s="12" t="n">
        <v>2103.58187416575</v>
      </c>
      <c r="G37" s="18" t="n">
        <v>782.9927701404056</v>
      </c>
    </row>
    <row r="38">
      <c r="A38" s="5" t="inlineStr">
        <is>
          <t>A31</t>
        </is>
      </c>
      <c r="B38" s="5" t="inlineStr">
        <is>
          <t>Fabricação de máquinas e equipamentos mecânicos</t>
        </is>
      </c>
      <c r="C38" s="5" t="inlineStr">
        <is>
          <t>demais_ind</t>
        </is>
      </c>
      <c r="D38" s="18" t="n">
        <v>1.91688615461513</v>
      </c>
      <c r="E38" s="18" t="n">
        <v>1.410233481353911</v>
      </c>
      <c r="F38" s="12" t="n">
        <v>13.31041904711363</v>
      </c>
      <c r="G38" s="18" t="n">
        <v>10.47467530886084</v>
      </c>
    </row>
    <row r="39">
      <c r="A39" s="5" t="inlineStr">
        <is>
          <t>A32</t>
        </is>
      </c>
      <c r="B39" s="5" t="inlineStr">
        <is>
          <t>Fabricação de automóveis, caminhões e ônibus, exceto peças</t>
        </is>
      </c>
      <c r="C39" s="5" t="inlineStr">
        <is>
          <t>demais_ind</t>
        </is>
      </c>
      <c r="D39" s="18" t="n">
        <v>0.04076354620856571</v>
      </c>
      <c r="E39" s="18" t="n">
        <v>0.0359694876573494</v>
      </c>
      <c r="F39" s="12" t="n">
        <v>0.1943326514430502</v>
      </c>
      <c r="G39" s="18" t="n">
        <v>0.4200535193149268</v>
      </c>
    </row>
    <row r="40">
      <c r="A40" s="5" t="inlineStr">
        <is>
          <t>A33</t>
        </is>
      </c>
      <c r="B40" s="5" t="inlineStr">
        <is>
          <t>Fabricação de peças e acessórios para veículos automotores</t>
        </is>
      </c>
      <c r="C40" s="5" t="inlineStr">
        <is>
          <t>demais_ind</t>
        </is>
      </c>
      <c r="D40" s="18" t="n">
        <v>19.73211073055579</v>
      </c>
      <c r="E40" s="18" t="n">
        <v>13.68699425549594</v>
      </c>
      <c r="F40" s="12" t="n">
        <v>137.9188298374546</v>
      </c>
      <c r="G40" s="18" t="n">
        <v>65.89125900331328</v>
      </c>
    </row>
    <row r="41">
      <c r="A41" s="5" t="inlineStr">
        <is>
          <t>A34</t>
        </is>
      </c>
      <c r="B41" s="5" t="inlineStr">
        <is>
          <t>Fabricação de outros equipamentos de transporte, exceto veículos automotores</t>
        </is>
      </c>
      <c r="C41" s="5" t="inlineStr">
        <is>
          <t>demais_ind</t>
        </is>
      </c>
      <c r="D41" s="18" t="n">
        <v>0.3542859975538316</v>
      </c>
      <c r="E41" s="18" t="n">
        <v>0.2739338404159554</v>
      </c>
      <c r="F41" s="12" t="n">
        <v>1.859149213393769</v>
      </c>
      <c r="G41" s="18" t="n">
        <v>0.6706024445585661</v>
      </c>
    </row>
    <row r="42">
      <c r="A42" s="5" t="inlineStr">
        <is>
          <t>A35</t>
        </is>
      </c>
      <c r="B42" s="5" t="inlineStr">
        <is>
          <t>Fabricação de móveis e de produtos de indústrias diversas</t>
        </is>
      </c>
      <c r="C42" s="5" t="inlineStr">
        <is>
          <t>demais_ind</t>
        </is>
      </c>
      <c r="D42" s="18" t="n">
        <v>0.6756342560799973</v>
      </c>
      <c r="E42" s="18" t="n">
        <v>0.3436800016872339</v>
      </c>
      <c r="F42" s="12" t="n">
        <v>10.58629490829514</v>
      </c>
      <c r="G42" s="18" t="n">
        <v>2.040989555724424</v>
      </c>
    </row>
    <row r="43">
      <c r="A43" s="5" t="inlineStr">
        <is>
          <t>A36</t>
        </is>
      </c>
      <c r="B43" s="5" t="inlineStr">
        <is>
          <t>Manutenção, reparação e instalação de máquinas e equipamentos</t>
        </is>
      </c>
      <c r="C43" s="5" t="inlineStr">
        <is>
          <t>demais_ind</t>
        </is>
      </c>
      <c r="D43" s="18" t="n">
        <v>56.37119935498339</v>
      </c>
      <c r="E43" s="18" t="n">
        <v>25.81233561206446</v>
      </c>
      <c r="F43" s="12" t="n">
        <v>725.4094899373098</v>
      </c>
      <c r="G43" s="18" t="n">
        <v>129.87966727433</v>
      </c>
    </row>
    <row r="44">
      <c r="A44" s="5" t="inlineStr">
        <is>
          <t>A37</t>
        </is>
      </c>
      <c r="B44" s="5" t="inlineStr">
        <is>
          <t>Energia elétrica, gás natural e outras utilidades</t>
        </is>
      </c>
      <c r="C44" s="5" t="inlineStr">
        <is>
          <t>energia</t>
        </is>
      </c>
      <c r="D44" s="18" t="n">
        <v>7.779140518211386</v>
      </c>
      <c r="E44" s="18" t="n">
        <v>1.380849797999519</v>
      </c>
      <c r="F44" s="12" t="n">
        <v>7.010613764698186</v>
      </c>
      <c r="G44" s="18" t="n">
        <v>16.44474655265977</v>
      </c>
    </row>
    <row r="45">
      <c r="A45" s="5" t="inlineStr">
        <is>
          <t>A38</t>
        </is>
      </c>
      <c r="B45" s="5" t="inlineStr">
        <is>
          <t>Água, esgoto e gestão de resíduos</t>
        </is>
      </c>
      <c r="C45" s="5" t="inlineStr">
        <is>
          <t>energia</t>
        </is>
      </c>
      <c r="D45" s="18" t="n">
        <v>7.075292531115616</v>
      </c>
      <c r="E45" s="18" t="n">
        <v>3.23173287446992</v>
      </c>
      <c r="F45" s="12" t="n">
        <v>54.60634622647792</v>
      </c>
      <c r="G45" s="18" t="n">
        <v>11.61848748860757</v>
      </c>
    </row>
    <row r="46">
      <c r="A46" s="5" t="inlineStr">
        <is>
          <t>A39</t>
        </is>
      </c>
      <c r="B46" s="5" t="inlineStr">
        <is>
          <t>Construção</t>
        </is>
      </c>
      <c r="C46" s="5" t="inlineStr">
        <is>
          <t>construcao</t>
        </is>
      </c>
      <c r="D46" s="18" t="n">
        <v>1.953631632053139</v>
      </c>
      <c r="E46" s="18" t="n">
        <v>0.8397371743003813</v>
      </c>
      <c r="F46" s="12" t="n">
        <v>42.14707788042731</v>
      </c>
      <c r="G46" s="18" t="n">
        <v>4.655579230375245</v>
      </c>
    </row>
    <row r="47">
      <c r="A47" s="5" t="inlineStr">
        <is>
          <t>A40</t>
        </is>
      </c>
      <c r="B47" s="5" t="inlineStr">
        <is>
          <t>Comércio e reparação de veículos automotores e motocicletas</t>
        </is>
      </c>
      <c r="C47" s="5" t="inlineStr">
        <is>
          <t>comercio</t>
        </is>
      </c>
      <c r="D47" s="18" t="n">
        <v>5.345332370643305</v>
      </c>
      <c r="E47" s="18" t="n">
        <v>2.685882336384156</v>
      </c>
      <c r="F47" s="12" t="n">
        <v>111.7056380624069</v>
      </c>
      <c r="G47" s="18" t="n">
        <v>10.07760971146278</v>
      </c>
    </row>
    <row r="48">
      <c r="A48" s="5" t="inlineStr">
        <is>
          <t>A41</t>
        </is>
      </c>
      <c r="B48" s="5" t="inlineStr">
        <is>
          <t>Comércio por atacado e a varejo, exceto veículos automotores</t>
        </is>
      </c>
      <c r="C48" s="5" t="inlineStr">
        <is>
          <t>comercio</t>
        </is>
      </c>
      <c r="D48" s="18" t="n">
        <v>219.2590979085621</v>
      </c>
      <c r="E48" s="18" t="n">
        <v>112.8115417765684</v>
      </c>
      <c r="F48" s="12" t="n">
        <v>3592.326402007396</v>
      </c>
      <c r="G48" s="18" t="n">
        <v>345.0403137841253</v>
      </c>
    </row>
    <row r="49">
      <c r="A49" s="5" t="inlineStr">
        <is>
          <t>A42</t>
        </is>
      </c>
      <c r="B49" s="5" t="inlineStr">
        <is>
          <t>Transporte terrestre</t>
        </is>
      </c>
      <c r="C49" s="5" t="inlineStr">
        <is>
          <t>transporte</t>
        </is>
      </c>
      <c r="D49" s="18" t="n">
        <v>17.79037233776483</v>
      </c>
      <c r="E49" s="18" t="n">
        <v>9.462606603067274</v>
      </c>
      <c r="F49" s="12" t="n">
        <v>302.4361372591317</v>
      </c>
      <c r="G49" s="18" t="n">
        <v>53.26982786458878</v>
      </c>
    </row>
    <row r="50">
      <c r="A50" s="5" t="inlineStr">
        <is>
          <t>A43</t>
        </is>
      </c>
      <c r="B50" s="5" t="inlineStr">
        <is>
          <t>Transporte aquaviário</t>
        </is>
      </c>
      <c r="C50" s="5" t="inlineStr">
        <is>
          <t>transporte</t>
        </is>
      </c>
      <c r="D50" s="18" t="n">
        <v>0.5698878220854272</v>
      </c>
      <c r="E50" s="18" t="n">
        <v>0.2905720835784457</v>
      </c>
      <c r="F50" s="12" t="n">
        <v>2.0550583490401</v>
      </c>
      <c r="G50" s="18" t="n">
        <v>1.051063375923656</v>
      </c>
    </row>
    <row r="51">
      <c r="A51" s="5" t="inlineStr">
        <is>
          <t>A44</t>
        </is>
      </c>
      <c r="B51" s="5" t="inlineStr">
        <is>
          <t>Transporte aéreo</t>
        </is>
      </c>
      <c r="C51" s="5" t="inlineStr">
        <is>
          <t>transporte</t>
        </is>
      </c>
      <c r="D51" s="18" t="n">
        <v>0.3214443682941097</v>
      </c>
      <c r="E51" s="18" t="n">
        <v>0.2419390403113793</v>
      </c>
      <c r="F51" s="12" t="n">
        <v>1.346694356395901</v>
      </c>
      <c r="G51" s="18" t="n">
        <v>1.17414820788763</v>
      </c>
    </row>
    <row r="52">
      <c r="A52" s="5" t="inlineStr">
        <is>
          <t>A45</t>
        </is>
      </c>
      <c r="B52" s="5" t="inlineStr">
        <is>
          <t>Armazenamento, atividades auxiliares dos transportes e correio</t>
        </is>
      </c>
      <c r="C52" s="5" t="inlineStr">
        <is>
          <t>transporte</t>
        </is>
      </c>
      <c r="D52" s="18" t="n">
        <v>5.28150970652282</v>
      </c>
      <c r="E52" s="18" t="n">
        <v>2.928504695871889</v>
      </c>
      <c r="F52" s="12" t="n">
        <v>37.04185163985481</v>
      </c>
      <c r="G52" s="18" t="n">
        <v>9.062139192016263</v>
      </c>
    </row>
    <row r="53">
      <c r="A53" s="5" t="inlineStr">
        <is>
          <t>A46</t>
        </is>
      </c>
      <c r="B53" s="5" t="inlineStr">
        <is>
          <t>Alojamento</t>
        </is>
      </c>
      <c r="C53" s="5" t="inlineStr">
        <is>
          <t>aloj_alim</t>
        </is>
      </c>
      <c r="D53" s="18" t="n">
        <v>1.948424649942652</v>
      </c>
      <c r="E53" s="18" t="n">
        <v>1.48636064747683</v>
      </c>
      <c r="F53" s="12" t="n">
        <v>39.72406481232475</v>
      </c>
      <c r="G53" s="18" t="n">
        <v>3.625528880677783</v>
      </c>
    </row>
    <row r="54">
      <c r="A54" s="5" t="inlineStr">
        <is>
          <t>A47</t>
        </is>
      </c>
      <c r="B54" s="5" t="inlineStr">
        <is>
          <t>Alimentação</t>
        </is>
      </c>
      <c r="C54" s="5" t="inlineStr">
        <is>
          <t>aloj_alim</t>
        </is>
      </c>
      <c r="D54" s="18" t="n">
        <v>0.2438648822966606</v>
      </c>
      <c r="E54" s="18" t="n">
        <v>0.1123290853962199</v>
      </c>
      <c r="F54" s="12" t="n">
        <v>7.237797230420777</v>
      </c>
      <c r="G54" s="18" t="n">
        <v>0.5352728510973969</v>
      </c>
    </row>
    <row r="55">
      <c r="A55" s="5" t="inlineStr">
        <is>
          <t>A48</t>
        </is>
      </c>
      <c r="B55" s="5" t="inlineStr">
        <is>
          <t>Edição e edição integrada à impressão</t>
        </is>
      </c>
      <c r="C55" s="5" t="inlineStr">
        <is>
          <t>informacao</t>
        </is>
      </c>
      <c r="D55" s="18" t="n">
        <v>0.2316923120555228</v>
      </c>
      <c r="E55" s="18" t="n">
        <v>0.1828894957447101</v>
      </c>
      <c r="F55" s="12" t="n">
        <v>2.522907767869485</v>
      </c>
      <c r="G55" s="18" t="n">
        <v>0.8490927946716601</v>
      </c>
    </row>
    <row r="56">
      <c r="A56" s="5" t="inlineStr">
        <is>
          <t>A49</t>
        </is>
      </c>
      <c r="B56" s="5" t="inlineStr">
        <is>
          <t>Atividades de televisão, rádio, cinema e  gravação/edição de som e imagem</t>
        </is>
      </c>
      <c r="C56" s="5" t="inlineStr">
        <is>
          <t>informacao</t>
        </is>
      </c>
      <c r="D56" s="18" t="n">
        <v>0.8386070555666481</v>
      </c>
      <c r="E56" s="18" t="n">
        <v>0.5764806448615092</v>
      </c>
      <c r="F56" s="12" t="n">
        <v>5.666327170363612</v>
      </c>
      <c r="G56" s="18" t="n">
        <v>2.097048734181266</v>
      </c>
    </row>
    <row r="57">
      <c r="A57" s="5" t="inlineStr">
        <is>
          <t>A50</t>
        </is>
      </c>
      <c r="B57" s="5" t="inlineStr">
        <is>
          <t>Telecomunicações</t>
        </is>
      </c>
      <c r="C57" s="5" t="inlineStr">
        <is>
          <t>informacao</t>
        </is>
      </c>
      <c r="D57" s="18" t="n">
        <v>0.9282557548740535</v>
      </c>
      <c r="E57" s="18" t="n">
        <v>0.254970398642347</v>
      </c>
      <c r="F57" s="12" t="n">
        <v>2.305142208688986</v>
      </c>
      <c r="G57" s="18" t="n">
        <v>2.250109551120004</v>
      </c>
    </row>
    <row r="58">
      <c r="A58" s="5" t="inlineStr">
        <is>
          <t>A51</t>
        </is>
      </c>
      <c r="B58" s="5" t="inlineStr">
        <is>
          <t>Desenvolvimento de sistemas e outros serviços de informação</t>
        </is>
      </c>
      <c r="C58" s="5" t="inlineStr">
        <is>
          <t>informacao</t>
        </is>
      </c>
      <c r="D58" s="18" t="n">
        <v>2.364809634118793</v>
      </c>
      <c r="E58" s="18" t="n">
        <v>1.223316072930116</v>
      </c>
      <c r="F58" s="12" t="n">
        <v>11.08323092615578</v>
      </c>
      <c r="G58" s="18" t="n">
        <v>3.527008545737739</v>
      </c>
    </row>
    <row r="59">
      <c r="A59" s="5" t="inlineStr">
        <is>
          <t>A52</t>
        </is>
      </c>
      <c r="B59" s="5" t="inlineStr">
        <is>
          <t>Intermediação financeira, seguros e previdência complementar</t>
        </is>
      </c>
      <c r="C59" s="5" t="inlineStr">
        <is>
          <t>financeira</t>
        </is>
      </c>
      <c r="D59" s="18" t="n">
        <v>9.485875193781041</v>
      </c>
      <c r="E59" s="18" t="n">
        <v>3.707993247301442</v>
      </c>
      <c r="F59" s="12" t="n">
        <v>19.1912552175685</v>
      </c>
      <c r="G59" s="18" t="n">
        <v>14.74412605477976</v>
      </c>
    </row>
    <row r="60">
      <c r="A60" s="5" t="inlineStr">
        <is>
          <t>A53</t>
        </is>
      </c>
      <c r="B60" s="5" t="inlineStr">
        <is>
          <t>Atividades imobiliárias</t>
        </is>
      </c>
      <c r="C60" s="5" t="inlineStr">
        <is>
          <t>imobiliario</t>
        </is>
      </c>
      <c r="D60" s="18" t="n">
        <v>14.05534969429479</v>
      </c>
      <c r="E60" s="18" t="n">
        <v>0.1893770715192566</v>
      </c>
      <c r="F60" s="12" t="n">
        <v>7.680721514630672</v>
      </c>
      <c r="G60" s="18" t="n">
        <v>15.22063369786007</v>
      </c>
    </row>
    <row r="61">
      <c r="A61" s="5" t="inlineStr">
        <is>
          <t>A54</t>
        </is>
      </c>
      <c r="B61" s="5" t="inlineStr">
        <is>
          <t>Atividades jurídicas, contábeis, consultoria e sedes de empresas</t>
        </is>
      </c>
      <c r="C61" s="5" t="inlineStr">
        <is>
          <t>profissionais</t>
        </is>
      </c>
      <c r="D61" s="18" t="n">
        <v>15.61856592365809</v>
      </c>
      <c r="E61" s="18" t="n">
        <v>6.166682739413284</v>
      </c>
      <c r="F61" s="12" t="n">
        <v>129.487438835164</v>
      </c>
      <c r="G61" s="18" t="n">
        <v>21.51880132831169</v>
      </c>
    </row>
    <row r="62">
      <c r="A62" s="5" t="inlineStr">
        <is>
          <t>A55</t>
        </is>
      </c>
      <c r="B62" s="5" t="inlineStr">
        <is>
          <t>Serviços de arquitetura, engenharia, testes/análises técnicas e P &amp; D</t>
        </is>
      </c>
      <c r="C62" s="5" t="inlineStr">
        <is>
          <t>profissionais</t>
        </is>
      </c>
      <c r="D62" s="18" t="n">
        <v>1.954959682505071</v>
      </c>
      <c r="E62" s="18" t="n">
        <v>0.9316373676083167</v>
      </c>
      <c r="F62" s="12" t="n">
        <v>21.77722799264547</v>
      </c>
      <c r="G62" s="18" t="n">
        <v>2.804751721205514</v>
      </c>
    </row>
    <row r="63">
      <c r="A63" s="5" t="inlineStr">
        <is>
          <t>A56</t>
        </is>
      </c>
      <c r="B63" s="5" t="inlineStr">
        <is>
          <t>Outras atividades profissionais, científicas e técnicas</t>
        </is>
      </c>
      <c r="C63" s="5" t="inlineStr">
        <is>
          <t>profissionais</t>
        </is>
      </c>
      <c r="D63" s="18" t="n">
        <v>3.667359206117638</v>
      </c>
      <c r="E63" s="18" t="n">
        <v>1.457816385613156</v>
      </c>
      <c r="F63" s="12" t="n">
        <v>39.90517826455257</v>
      </c>
      <c r="G63" s="18" t="n">
        <v>9.068673090463532</v>
      </c>
    </row>
    <row r="64">
      <c r="A64" s="5" t="inlineStr">
        <is>
          <t>A57</t>
        </is>
      </c>
      <c r="B64" s="5" t="inlineStr">
        <is>
          <t>Aluguéis não-imobiliários e gestão de ativos de propriedade intelectual</t>
        </is>
      </c>
      <c r="C64" s="5" t="inlineStr">
        <is>
          <t>administrativo</t>
        </is>
      </c>
      <c r="D64" s="18" t="n">
        <v>4.664295243750846</v>
      </c>
      <c r="E64" s="18" t="n">
        <v>1.754892549006984</v>
      </c>
      <c r="F64" s="12" t="n">
        <v>31.80976988646711</v>
      </c>
      <c r="G64" s="18" t="n">
        <v>6.752283567320342</v>
      </c>
    </row>
    <row r="65">
      <c r="A65" s="5" t="inlineStr">
        <is>
          <t>A58</t>
        </is>
      </c>
      <c r="B65" s="5" t="inlineStr">
        <is>
          <t>Outras atividades administrativas e serviços complementares</t>
        </is>
      </c>
      <c r="C65" s="5" t="inlineStr">
        <is>
          <t>administrativo</t>
        </is>
      </c>
      <c r="D65" s="18" t="n">
        <v>32.86487311163425</v>
      </c>
      <c r="E65" s="18" t="n">
        <v>22.02736591914332</v>
      </c>
      <c r="F65" s="12" t="n">
        <v>535.5929421103318</v>
      </c>
      <c r="G65" s="18" t="n">
        <v>45.79215231805669</v>
      </c>
    </row>
    <row r="66">
      <c r="A66" s="5" t="inlineStr">
        <is>
          <t>A59</t>
        </is>
      </c>
      <c r="B66" s="5" t="inlineStr">
        <is>
          <t>Atividades de vigilância, segurança e investigação</t>
        </is>
      </c>
      <c r="C66" s="5" t="inlineStr">
        <is>
          <t>administrativo</t>
        </is>
      </c>
      <c r="D66" s="18" t="n">
        <v>8.800708146612934</v>
      </c>
      <c r="E66" s="18" t="n">
        <v>7.787931224486695</v>
      </c>
      <c r="F66" s="12" t="n">
        <v>135.0146006320031</v>
      </c>
      <c r="G66" s="18" t="n">
        <v>10.41553076918956</v>
      </c>
    </row>
    <row r="67">
      <c r="A67" s="5" t="inlineStr">
        <is>
          <t>A60</t>
        </is>
      </c>
      <c r="B67" s="5" t="inlineStr">
        <is>
          <t>Administração pública, defesa e seguridade social</t>
        </is>
      </c>
      <c r="C67" s="5" t="inlineStr">
        <is>
          <t>publico</t>
        </is>
      </c>
      <c r="D67" s="18" t="n">
        <v>0.2122924871854108</v>
      </c>
      <c r="E67" s="18" t="n">
        <v>0.1822004614314534</v>
      </c>
      <c r="F67" s="12" t="n">
        <v>1.14565293836814</v>
      </c>
      <c r="G67" s="18" t="n">
        <v>0.2924339185477459</v>
      </c>
    </row>
    <row r="68">
      <c r="A68" s="5" t="inlineStr">
        <is>
          <t>A61</t>
        </is>
      </c>
      <c r="B68" s="5" t="inlineStr">
        <is>
          <t>Educação pública</t>
        </is>
      </c>
      <c r="C68" s="5" t="inlineStr">
        <is>
          <t>sociais</t>
        </is>
      </c>
      <c r="D68" s="18" t="n">
        <v>0.005795777257873445</v>
      </c>
      <c r="E68" s="18" t="n">
        <v>0.005539640794738374</v>
      </c>
      <c r="F68" s="12" t="n">
        <v>0.05685273330479271</v>
      </c>
      <c r="G68" s="18" t="n">
        <v>0.006705288580339038</v>
      </c>
    </row>
    <row r="69">
      <c r="A69" s="5" t="inlineStr">
        <is>
          <t>A62</t>
        </is>
      </c>
      <c r="B69" s="5" t="inlineStr">
        <is>
          <t>Educação privada</t>
        </is>
      </c>
      <c r="C69" s="5" t="inlineStr">
        <is>
          <t>sociais</t>
        </is>
      </c>
      <c r="D69" s="18" t="n">
        <v>3.087527069410432</v>
      </c>
      <c r="E69" s="18" t="n">
        <v>2.698870299884224</v>
      </c>
      <c r="F69" s="12" t="n">
        <v>59.51846452337936</v>
      </c>
      <c r="G69" s="18" t="n">
        <v>3.842674741799287</v>
      </c>
    </row>
    <row r="70">
      <c r="A70" s="5" t="inlineStr">
        <is>
          <t>A63</t>
        </is>
      </c>
      <c r="B70" s="5" t="inlineStr">
        <is>
          <t>Saúde pública</t>
        </is>
      </c>
      <c r="C70" s="5" t="inlineStr">
        <is>
          <t>sociais</t>
        </is>
      </c>
      <c r="D70" s="18" t="n">
        <v>5.334518344705482e-06</v>
      </c>
      <c r="E70" s="18" t="n">
        <v>5.075043340998518e-06</v>
      </c>
      <c r="F70" s="12" t="n">
        <v>6.074628760821744e-05</v>
      </c>
      <c r="G70" s="18" t="n">
        <v>8.056718451232933e-06</v>
      </c>
    </row>
    <row r="71">
      <c r="A71" s="5" t="inlineStr">
        <is>
          <t>A64</t>
        </is>
      </c>
      <c r="B71" s="5" t="inlineStr">
        <is>
          <t>Saúde privada</t>
        </is>
      </c>
      <c r="C71" s="5" t="inlineStr">
        <is>
          <t>sociais</t>
        </is>
      </c>
      <c r="D71" s="18" t="n">
        <v>0.03200313281610103</v>
      </c>
      <c r="E71" s="18" t="n">
        <v>0.01693313282052546</v>
      </c>
      <c r="F71" s="12" t="n">
        <v>0.4451942059319317</v>
      </c>
      <c r="G71" s="18" t="n">
        <v>0.05826318662670168</v>
      </c>
    </row>
    <row r="72">
      <c r="A72" s="5" t="inlineStr">
        <is>
          <t>A65</t>
        </is>
      </c>
      <c r="B72" s="5" t="inlineStr">
        <is>
          <t>Atividades artísticas, criativas e de espetáculos</t>
        </is>
      </c>
      <c r="C72" s="5" t="inlineStr">
        <is>
          <t>sociais</t>
        </is>
      </c>
      <c r="D72" s="18" t="n">
        <v>0.05401667900835033</v>
      </c>
      <c r="E72" s="18" t="n">
        <v>0.03117521958953042</v>
      </c>
      <c r="F72" s="12" t="n">
        <v>1.818113450078608</v>
      </c>
      <c r="G72" s="18" t="n">
        <v>0.09780870907083504</v>
      </c>
    </row>
    <row r="73">
      <c r="A73" s="5" t="inlineStr">
        <is>
          <t>A66</t>
        </is>
      </c>
      <c r="B73" s="5" t="inlineStr">
        <is>
          <t>Organizações associativas e outros serviços pessoais</t>
        </is>
      </c>
      <c r="C73" s="5" t="inlineStr">
        <is>
          <t>sociais</t>
        </is>
      </c>
      <c r="D73" s="18" t="n">
        <v>3.978034205832529</v>
      </c>
      <c r="E73" s="18" t="n">
        <v>2.090103621266076</v>
      </c>
      <c r="F73" s="12" t="n">
        <v>142.836954729568</v>
      </c>
      <c r="G73" s="18" t="n">
        <v>9.239885386518294</v>
      </c>
    </row>
    <row r="74">
      <c r="A74" s="5" t="inlineStr">
        <is>
          <t>A67</t>
        </is>
      </c>
      <c r="B74" s="5" t="inlineStr">
        <is>
          <t>Serviços domésticos</t>
        </is>
      </c>
      <c r="C74" s="5" t="inlineStr">
        <is>
          <t>sociais</t>
        </is>
      </c>
      <c r="D74" s="18" t="n">
        <v>0</v>
      </c>
      <c r="E74" s="18" t="n">
        <v>0</v>
      </c>
      <c r="F74" s="12" t="n">
        <v>0</v>
      </c>
      <c r="G74" s="18" t="n">
        <v>0</v>
      </c>
    </row>
    <row r="75">
      <c r="A75" s="4" t="inlineStr"/>
      <c r="B75" s="4" t="inlineStr">
        <is>
          <t>Soma, indireto no RS</t>
        </is>
      </c>
      <c r="D75" s="20">
        <f>SUM(D7:D74)</f>
        <v/>
      </c>
      <c r="E75" s="20">
        <f>SUM(E7:E74)</f>
        <v/>
      </c>
      <c r="F75" s="13">
        <f>SUM(F7:F74)</f>
        <v/>
      </c>
      <c r="G75" s="20">
        <f>SUM(G7:G74)</f>
        <v/>
      </c>
    </row>
  </sheetData>
  <autoFilter ref="A6:G74"/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 ht="24" customHeight="1">
      <c r="A1" s="1" t="inlineStr">
        <is>
          <t>Indireto por UF — vazamento medido</t>
        </is>
      </c>
    </row>
    <row r="2" ht="18" customHeight="1">
      <c r="A2" s="2" t="inlineStr">
        <is>
          <t>R$ milhões de 2025. O resto do Brasil é a soma menos o RS.</t>
        </is>
      </c>
    </row>
    <row r="3" ht="32" customHeight="1">
      <c r="A3" s="2" t="inlineStr">
        <is>
          <t>Mesma solução x = (I−A)⁻¹ f. O choque é a origem do BOM. O valor adicionado é o coeficiente da MIP.</t>
        </is>
      </c>
    </row>
    <row r="6">
      <c r="A6" s="3" t="inlineStr">
        <is>
          <t>UF</t>
        </is>
      </c>
      <c r="B6" s="3" t="inlineStr">
        <is>
          <t>Choque</t>
        </is>
      </c>
      <c r="C6" s="3" t="inlineStr">
        <is>
          <t>Produção</t>
        </is>
      </c>
      <c r="D6" s="3" t="inlineStr">
        <is>
          <t>VA indireto</t>
        </is>
      </c>
      <c r="E6" s="3" t="inlineStr">
        <is>
          <t>Ocupações</t>
        </is>
      </c>
      <c r="F6" s="3" t="inlineStr">
        <is>
          <t>Remuneração</t>
        </is>
      </c>
    </row>
    <row r="7">
      <c r="A7" s="5" t="inlineStr">
        <is>
          <t>RO</t>
        </is>
      </c>
      <c r="B7" s="18" t="n">
        <v>1.098267010818373</v>
      </c>
      <c r="C7" s="18" t="n">
        <v>18.35450379666549</v>
      </c>
      <c r="D7" s="18" t="n">
        <v>11.84609130844458</v>
      </c>
      <c r="E7" s="12" t="n">
        <v>128.3414636759476</v>
      </c>
      <c r="F7" s="18" t="n">
        <v>4.922607575911106</v>
      </c>
    </row>
    <row r="8">
      <c r="A8" s="5" t="inlineStr">
        <is>
          <t>AC</t>
        </is>
      </c>
      <c r="B8" s="18" t="n">
        <v>0.495551811534416</v>
      </c>
      <c r="C8" s="18" t="n">
        <v>4.571730410098212</v>
      </c>
      <c r="D8" s="18" t="n">
        <v>3.044130807490029</v>
      </c>
      <c r="E8" s="12" t="n">
        <v>41.22966083637423</v>
      </c>
      <c r="F8" s="18" t="n">
        <v>1.492278424082326</v>
      </c>
    </row>
    <row r="9">
      <c r="A9" s="5" t="inlineStr">
        <is>
          <t>AM</t>
        </is>
      </c>
      <c r="B9" s="18" t="n">
        <v>415.9654482295728</v>
      </c>
      <c r="C9" s="18" t="n">
        <v>730.7290175695875</v>
      </c>
      <c r="D9" s="18" t="n">
        <v>63.30901175624789</v>
      </c>
      <c r="E9" s="12" t="n">
        <v>561.8826986043883</v>
      </c>
      <c r="F9" s="18" t="n">
        <v>36.42442713983429</v>
      </c>
    </row>
    <row r="10">
      <c r="A10" s="5" t="inlineStr">
        <is>
          <t>RR</t>
        </is>
      </c>
      <c r="B10" s="18" t="n">
        <v>0.02867177036910227</v>
      </c>
      <c r="C10" s="18" t="n">
        <v>4.335089905931938</v>
      </c>
      <c r="D10" s="18" t="n">
        <v>2.915317995916966</v>
      </c>
      <c r="E10" s="12" t="n">
        <v>35.01093107662675</v>
      </c>
      <c r="F10" s="18" t="n">
        <v>1.309063469790414</v>
      </c>
    </row>
    <row r="11">
      <c r="A11" s="5" t="inlineStr">
        <is>
          <t>PA</t>
        </is>
      </c>
      <c r="B11" s="18" t="n">
        <v>3.291198689891949</v>
      </c>
      <c r="C11" s="18" t="n">
        <v>78.07427068726683</v>
      </c>
      <c r="D11" s="18" t="n">
        <v>38.38575985399005</v>
      </c>
      <c r="E11" s="12" t="n">
        <v>374.9647138804522</v>
      </c>
      <c r="F11" s="18" t="n">
        <v>15.09026558805585</v>
      </c>
    </row>
    <row r="12">
      <c r="A12" s="5" t="inlineStr">
        <is>
          <t>AP</t>
        </is>
      </c>
      <c r="B12" s="18" t="n">
        <v>0.0935745025665362</v>
      </c>
      <c r="C12" s="18" t="n">
        <v>4.548149539478547</v>
      </c>
      <c r="D12" s="18" t="n">
        <v>3.080752306757039</v>
      </c>
      <c r="E12" s="12" t="n">
        <v>37.10733454965855</v>
      </c>
      <c r="F12" s="18" t="n">
        <v>1.40433616345968</v>
      </c>
    </row>
    <row r="13">
      <c r="A13" s="5" t="inlineStr">
        <is>
          <t>TO</t>
        </is>
      </c>
      <c r="B13" s="18" t="n">
        <v>0.3756917612754069</v>
      </c>
      <c r="C13" s="18" t="n">
        <v>16.59056368576559</v>
      </c>
      <c r="D13" s="18" t="n">
        <v>9.886283883171206</v>
      </c>
      <c r="E13" s="12" t="n">
        <v>125.8538159388618</v>
      </c>
      <c r="F13" s="18" t="n">
        <v>4.327810776337914</v>
      </c>
    </row>
    <row r="14">
      <c r="A14" s="5" t="inlineStr">
        <is>
          <t>MA</t>
        </is>
      </c>
      <c r="B14" s="18" t="n">
        <v>0.3156867477936059</v>
      </c>
      <c r="C14" s="18" t="n">
        <v>47.92042384629084</v>
      </c>
      <c r="D14" s="18" t="n">
        <v>24.12797285745811</v>
      </c>
      <c r="E14" s="12" t="n">
        <v>275.1810195833586</v>
      </c>
      <c r="F14" s="18" t="n">
        <v>11.17488415080717</v>
      </c>
    </row>
    <row r="15">
      <c r="A15" s="5" t="inlineStr">
        <is>
          <t>PI</t>
        </is>
      </c>
      <c r="B15" s="18" t="n">
        <v>0.1618028787770161</v>
      </c>
      <c r="C15" s="18" t="n">
        <v>16.8883183517992</v>
      </c>
      <c r="D15" s="18" t="n">
        <v>10.45781250038347</v>
      </c>
      <c r="E15" s="12" t="n">
        <v>132.2009372046267</v>
      </c>
      <c r="F15" s="18" t="n">
        <v>4.864528064043143</v>
      </c>
    </row>
    <row r="16">
      <c r="A16" s="5" t="inlineStr">
        <is>
          <t>CE</t>
        </is>
      </c>
      <c r="B16" s="18" t="n">
        <v>1.317901694960004</v>
      </c>
      <c r="C16" s="18" t="n">
        <v>77.07197431357697</v>
      </c>
      <c r="D16" s="18" t="n">
        <v>42.8086410366845</v>
      </c>
      <c r="E16" s="12" t="n">
        <v>497.6976065874999</v>
      </c>
      <c r="F16" s="18" t="n">
        <v>20.36617367738719</v>
      </c>
    </row>
    <row r="17">
      <c r="A17" s="5" t="inlineStr">
        <is>
          <t>RN</t>
        </is>
      </c>
      <c r="B17" s="18" t="n">
        <v>0.528143709209776</v>
      </c>
      <c r="C17" s="18" t="n">
        <v>24.11702990020893</v>
      </c>
      <c r="D17" s="18" t="n">
        <v>14.34759746984144</v>
      </c>
      <c r="E17" s="12" t="n">
        <v>165.6483958527376</v>
      </c>
      <c r="F17" s="18" t="n">
        <v>6.385851834864507</v>
      </c>
    </row>
    <row r="18">
      <c r="A18" s="5" t="inlineStr">
        <is>
          <t>PB</t>
        </is>
      </c>
      <c r="B18" s="18" t="n">
        <v>1.2889870862011</v>
      </c>
      <c r="C18" s="18" t="n">
        <v>23.84436413744519</v>
      </c>
      <c r="D18" s="18" t="n">
        <v>14.33382219384002</v>
      </c>
      <c r="E18" s="12" t="n">
        <v>169.2448573587289</v>
      </c>
      <c r="F18" s="18" t="n">
        <v>6.747587049396016</v>
      </c>
    </row>
    <row r="19">
      <c r="A19" s="5" t="inlineStr">
        <is>
          <t>PE</t>
        </is>
      </c>
      <c r="B19" s="18" t="n">
        <v>10.77580061401441</v>
      </c>
      <c r="C19" s="18" t="n">
        <v>110.2155514743123</v>
      </c>
      <c r="D19" s="18" t="n">
        <v>51.93084067586179</v>
      </c>
      <c r="E19" s="12" t="n">
        <v>566.9940535175741</v>
      </c>
      <c r="F19" s="18" t="n">
        <v>25.67431499753883</v>
      </c>
    </row>
    <row r="20">
      <c r="A20" s="5" t="inlineStr">
        <is>
          <t>AL</t>
        </is>
      </c>
      <c r="B20" s="18" t="n">
        <v>0.1527829427134625</v>
      </c>
      <c r="C20" s="18" t="n">
        <v>20.68254452998283</v>
      </c>
      <c r="D20" s="18" t="n">
        <v>11.21650083858952</v>
      </c>
      <c r="E20" s="12" t="n">
        <v>139.9297811510255</v>
      </c>
      <c r="F20" s="18" t="n">
        <v>5.253111007082469</v>
      </c>
    </row>
    <row r="21">
      <c r="A21" s="5" t="inlineStr">
        <is>
          <t>SE</t>
        </is>
      </c>
      <c r="B21" s="18" t="n">
        <v>0.5090885545262914</v>
      </c>
      <c r="C21" s="18" t="n">
        <v>14.77213863370862</v>
      </c>
      <c r="D21" s="18" t="n">
        <v>8.876938951297475</v>
      </c>
      <c r="E21" s="12" t="n">
        <v>102.0152057665843</v>
      </c>
      <c r="F21" s="18" t="n">
        <v>4.040718438656602</v>
      </c>
    </row>
    <row r="22">
      <c r="A22" s="5" t="inlineStr">
        <is>
          <t>BA</t>
        </is>
      </c>
      <c r="B22" s="18" t="n">
        <v>106.6460039342452</v>
      </c>
      <c r="C22" s="18" t="n">
        <v>289.5685275978682</v>
      </c>
      <c r="D22" s="18" t="n">
        <v>121.3851671558041</v>
      </c>
      <c r="E22" s="12" t="n">
        <v>1179.043894340103</v>
      </c>
      <c r="F22" s="18" t="n">
        <v>65.22644957698105</v>
      </c>
    </row>
    <row r="23">
      <c r="A23" s="5" t="inlineStr">
        <is>
          <t>MG</t>
        </is>
      </c>
      <c r="B23" s="18" t="n">
        <v>209.112849317383</v>
      </c>
      <c r="C23" s="18" t="n">
        <v>626.5602676612529</v>
      </c>
      <c r="D23" s="18" t="n">
        <v>244.6045889509942</v>
      </c>
      <c r="E23" s="12" t="n">
        <v>2444.349326577146</v>
      </c>
      <c r="F23" s="18" t="n">
        <v>124.0114802124179</v>
      </c>
    </row>
    <row r="24">
      <c r="A24" s="5" t="inlineStr">
        <is>
          <t>ES</t>
        </is>
      </c>
      <c r="B24" s="18" t="n">
        <v>70.76991259499779</v>
      </c>
      <c r="C24" s="18" t="n">
        <v>175.519196383041</v>
      </c>
      <c r="D24" s="18" t="n">
        <v>88.91115167092592</v>
      </c>
      <c r="E24" s="12" t="n">
        <v>1127.048034377716</v>
      </c>
      <c r="F24" s="18" t="n">
        <v>43.76176396470925</v>
      </c>
    </row>
    <row r="25">
      <c r="A25" s="5" t="inlineStr">
        <is>
          <t>RJ</t>
        </is>
      </c>
      <c r="B25" s="18" t="n">
        <v>199.101407942965</v>
      </c>
      <c r="C25" s="18" t="n">
        <v>794.4504419185364</v>
      </c>
      <c r="D25" s="18" t="n">
        <v>301.1777125076978</v>
      </c>
      <c r="E25" s="12" t="n">
        <v>2817.317176239372</v>
      </c>
      <c r="F25" s="18" t="n">
        <v>144.4451117513333</v>
      </c>
    </row>
    <row r="26">
      <c r="A26" s="5" t="inlineStr">
        <is>
          <t>SP</t>
        </is>
      </c>
      <c r="B26" s="18" t="n">
        <v>1056.954320984637</v>
      </c>
      <c r="C26" s="18" t="n">
        <v>3702.621565293188</v>
      </c>
      <c r="D26" s="18" t="n">
        <v>1138.956935021328</v>
      </c>
      <c r="E26" s="12" t="n">
        <v>10705.48314902976</v>
      </c>
      <c r="F26" s="18" t="n">
        <v>570.877195951329</v>
      </c>
    </row>
    <row r="27">
      <c r="A27" s="5" t="inlineStr">
        <is>
          <t>PR</t>
        </is>
      </c>
      <c r="B27" s="18" t="n">
        <v>1828.977096829188</v>
      </c>
      <c r="C27" s="18" t="n">
        <v>2362.432753459816</v>
      </c>
      <c r="D27" s="18" t="n">
        <v>630.6981023267338</v>
      </c>
      <c r="E27" s="12" t="n">
        <v>5555.15526918352</v>
      </c>
      <c r="F27" s="18" t="n">
        <v>340.5254682231688</v>
      </c>
    </row>
    <row r="28">
      <c r="A28" s="5" t="inlineStr">
        <is>
          <t>SC</t>
        </is>
      </c>
      <c r="B28" s="18" t="n">
        <v>473.126740952546</v>
      </c>
      <c r="C28" s="18" t="n">
        <v>832.1949592220792</v>
      </c>
      <c r="D28" s="18" t="n">
        <v>331.8421141915769</v>
      </c>
      <c r="E28" s="12" t="n">
        <v>3158.09325106679</v>
      </c>
      <c r="F28" s="18" t="n">
        <v>164.4682766527556</v>
      </c>
    </row>
    <row r="29">
      <c r="A29" s="5" t="inlineStr">
        <is>
          <t>RS</t>
        </is>
      </c>
      <c r="B29" s="18" t="n">
        <v>3574.501610755066</v>
      </c>
      <c r="C29" s="18" t="n">
        <v>4383.955468623437</v>
      </c>
      <c r="D29" s="18" t="n">
        <v>1772.908816038293</v>
      </c>
      <c r="E29" s="12" t="n">
        <v>15702.88199072142</v>
      </c>
      <c r="F29" s="18" t="n">
        <v>1002.795321158112</v>
      </c>
    </row>
    <row r="30">
      <c r="A30" s="5" t="inlineStr">
        <is>
          <t>MS</t>
        </is>
      </c>
      <c r="B30" s="18" t="n">
        <v>2.534790712166796</v>
      </c>
      <c r="C30" s="18" t="n">
        <v>94.33805617073126</v>
      </c>
      <c r="D30" s="18" t="n">
        <v>40.73114745991047</v>
      </c>
      <c r="E30" s="12" t="n">
        <v>512.6336548200621</v>
      </c>
      <c r="F30" s="18" t="n">
        <v>17.23454676742233</v>
      </c>
    </row>
    <row r="31">
      <c r="A31" s="5" t="inlineStr">
        <is>
          <t>MT</t>
        </is>
      </c>
      <c r="B31" s="18" t="n">
        <v>3.113920165341212</v>
      </c>
      <c r="C31" s="18" t="n">
        <v>96.51503826183124</v>
      </c>
      <c r="D31" s="18" t="n">
        <v>47.53226188629747</v>
      </c>
      <c r="E31" s="12" t="n">
        <v>634.1196582391461</v>
      </c>
      <c r="F31" s="18" t="n">
        <v>21.76887475680447</v>
      </c>
    </row>
    <row r="32">
      <c r="A32" s="5" t="inlineStr">
        <is>
          <t>GO</t>
        </is>
      </c>
      <c r="B32" s="18" t="n">
        <v>26.03918399819138</v>
      </c>
      <c r="C32" s="18" t="n">
        <v>129.3204985419902</v>
      </c>
      <c r="D32" s="18" t="n">
        <v>67.25150430695787</v>
      </c>
      <c r="E32" s="12" t="n">
        <v>756.9807130481666</v>
      </c>
      <c r="F32" s="18" t="n">
        <v>33.51426747092713</v>
      </c>
    </row>
    <row r="33">
      <c r="A33" s="5" t="inlineStr">
        <is>
          <t>DF</t>
        </is>
      </c>
      <c r="B33" s="18" t="n">
        <v>12.69389722699401</v>
      </c>
      <c r="C33" s="18" t="n">
        <v>117.0352643321329</v>
      </c>
      <c r="D33" s="18" t="n">
        <v>60.96814508397386</v>
      </c>
      <c r="E33" s="12" t="n">
        <v>477.6776405991933</v>
      </c>
      <c r="F33" s="18" t="n">
        <v>26.66298725155044</v>
      </c>
    </row>
    <row r="34">
      <c r="A34" s="4" t="inlineStr">
        <is>
          <t>Brasil</t>
        </is>
      </c>
      <c r="B34" s="20">
        <f>SUM(B7:B33)</f>
        <v/>
      </c>
      <c r="C34" s="20">
        <f>SUM(C7:C33)</f>
        <v/>
      </c>
      <c r="D34" s="20">
        <f>SUM(D7:D33)</f>
        <v/>
      </c>
      <c r="E34" s="13">
        <f>SUM(E7:E33)</f>
        <v/>
      </c>
      <c r="F34" s="20">
        <f>SUM(F7:F33)</f>
        <v/>
      </c>
    </row>
    <row r="35">
      <c r="A35" s="4" t="inlineStr">
        <is>
          <t>Resto</t>
        </is>
      </c>
      <c r="B35" s="20">
        <f>B34-B29</f>
        <v/>
      </c>
      <c r="C35" s="20">
        <f>C34-C29</f>
        <v/>
      </c>
      <c r="D35" s="20">
        <f>D34-D29</f>
        <v/>
      </c>
      <c r="E35" s="13">
        <f>E34-E29</f>
        <v/>
      </c>
      <c r="F35" s="20">
        <f>F34-F29</f>
        <v/>
      </c>
    </row>
  </sheetData>
  <autoFilter ref="A6:F33"/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18" customWidth="1" min="4" max="4"/>
    <col width="55" customWidth="1" min="5" max="5"/>
  </cols>
  <sheetData>
    <row r="1" ht="24" customHeight="1">
      <c r="A1" s="1" t="inlineStr">
        <is>
          <t>Resultados — MIP Ipea ao lado da MIP-RS</t>
        </is>
      </c>
    </row>
    <row r="2" ht="18" customHeight="1">
      <c r="A2" s="2" t="inlineStr">
        <is>
          <t>R$ milhões de 2025 e ocupações. O tipo I da coluna Ipea é fórmula. A coluna MIP-RS é a conta já publicada, para checagem. Não some as colunas.</t>
        </is>
      </c>
    </row>
    <row r="3" ht="32" customHeight="1">
      <c r="A3" s="2" t="inlineStr">
        <is>
          <t>Indireto Ipea: soma das abas 05 e 06. Induzido: uma rodada, 60% da massa salarial gerada no RS, só a oferta gaúcha. MIP-RS: resultados.json, sem recálculo.</t>
        </is>
      </c>
    </row>
    <row r="6">
      <c r="A6" s="3" t="inlineStr">
        <is>
          <t>Leitura</t>
        </is>
      </c>
      <c r="B6" s="3" t="inlineStr">
        <is>
          <t>MIP Ipea</t>
        </is>
      </c>
      <c r="C6" s="3" t="inlineStr">
        <is>
          <t>MIP-RS 2019</t>
        </is>
      </c>
      <c r="D6" s="3" t="inlineStr">
        <is>
          <t>Diferença</t>
        </is>
      </c>
      <c r="E6" s="3" t="inlineStr">
        <is>
          <t>Nota</t>
        </is>
      </c>
    </row>
    <row r="7">
      <c r="A7" s="5" t="inlineStr">
        <is>
          <t>Valor adicionado direto</t>
        </is>
      </c>
      <c r="B7" s="14">
        <f>va_direto</f>
        <v/>
      </c>
      <c r="C7" s="21">
        <f>va_direto</f>
        <v/>
      </c>
      <c r="D7" s="14">
        <f>B7-C7</f>
        <v/>
      </c>
      <c r="E7" s="5" t="inlineStr">
        <is>
          <t>A mesma planta. Na MIP-RS o direto também é R$ 7.830 milhões.</t>
        </is>
      </c>
    </row>
    <row r="8">
      <c r="A8" s="5" t="inlineStr">
        <is>
          <t>Indireto no RS / cadeia MIP-RS</t>
        </is>
      </c>
      <c r="B8" s="14">
        <f>'05_indireto_rs_atividade'!D75</f>
        <v/>
      </c>
      <c r="C8" s="12" t="n">
        <v>498.88198923</v>
      </c>
      <c r="D8" s="14">
        <f>B8-C8</f>
        <v/>
      </c>
      <c r="E8" s="5" t="inlineStr">
        <is>
          <t>Ipea: soma das 68 atividades. MIP-RS: cadeia já publicada, R$ 498,9 milhões.</t>
        </is>
      </c>
    </row>
    <row r="9">
      <c r="A9" s="5" t="inlineStr">
        <is>
          <t>Indireto no resto do Brasil</t>
        </is>
      </c>
      <c r="B9" s="14">
        <f>'06_indireto_por_uf'!D35</f>
        <v/>
      </c>
      <c r="C9" s="5" t="inlineStr">
        <is>
          <t>—</t>
        </is>
      </c>
      <c r="D9" s="5" t="inlineStr">
        <is>
          <t>—</t>
        </is>
      </c>
      <c r="E9" s="5" t="inlineStr">
        <is>
          <t>Vazamento medido. A MIP-RS registrava a compra fora do RS e não a multiplicava.</t>
        </is>
      </c>
    </row>
    <row r="10">
      <c r="A10" s="5" t="inlineStr">
        <is>
          <t>Tipo I no RS</t>
        </is>
      </c>
      <c r="B10" s="14">
        <f>B7+B8</f>
        <v/>
      </c>
      <c r="C10" s="14">
        <f>C7+C8</f>
        <v/>
      </c>
      <c r="D10" s="14">
        <f>B10-C10</f>
        <v/>
      </c>
      <c r="E10" s="5" t="inlineStr">
        <is>
          <t>Manchete Ipea: direto + indireto no RS. A coluna MIP-RS é direto + cadeia.</t>
        </is>
      </c>
    </row>
    <row r="11">
      <c r="A11" s="5" t="inlineStr">
        <is>
          <t>Induzido no RS, uma rodada, à parte</t>
        </is>
      </c>
      <c r="B11" s="12" t="n">
        <v>627.7611359073793</v>
      </c>
      <c r="C11" s="12" t="n">
        <v>370.80085243</v>
      </c>
      <c r="D11" s="14">
        <f>B11-C11</f>
        <v/>
      </c>
      <c r="E11" s="5" t="inlineStr">
        <is>
          <t>Fora da manchete de tipo I. 60% da massa salarial gerada no RS.</t>
        </is>
      </c>
    </row>
    <row r="12">
      <c r="A12" s="5" t="inlineStr">
        <is>
          <t>Transbordamento no RS (mapa)</t>
        </is>
      </c>
      <c r="B12" s="14">
        <f>B8+B11</f>
        <v/>
      </c>
      <c r="C12" s="14">
        <f>C8+C11</f>
        <v/>
      </c>
      <c r="D12" s="14">
        <f>B12-C12</f>
        <v/>
      </c>
      <c r="E12" s="5" t="inlineStr">
        <is>
          <t>O que o mapa reparte. Não é a manchete de tipo I.</t>
        </is>
      </c>
    </row>
    <row r="13">
      <c r="A13" s="5" t="inlineStr">
        <is>
          <t>Direto + indireto no RS + induzido</t>
        </is>
      </c>
      <c r="B13" s="14">
        <f>B10+B11</f>
        <v/>
      </c>
      <c r="C13" s="14">
        <f>C10+C11</f>
        <v/>
      </c>
      <c r="D13" s="14">
        <f>B13-C13</f>
        <v/>
      </c>
      <c r="E13" s="5" t="inlineStr">
        <is>
          <t>Leitura auxiliar. A manchete Ipea permanece o tipo I. O tipo II da MIP-RS é esta coluna.</t>
        </is>
      </c>
    </row>
    <row r="14">
      <c r="A14" s="5" t="inlineStr">
        <is>
          <t>Ocupações do indireto no RS</t>
        </is>
      </c>
      <c r="B14" s="8">
        <f>'05_indireto_rs_atividade'!F75</f>
        <v/>
      </c>
      <c r="C14" s="6" t="n">
        <v>4554.975001</v>
      </c>
      <c r="D14" s="8">
        <f>B14-C14</f>
        <v/>
      </c>
      <c r="E14" s="5" t="inlineStr">
        <is>
          <t>Fator trabalho da MIP Ipea. MIP-RS: coeficiente da TRU-16.</t>
        </is>
      </c>
    </row>
    <row r="15">
      <c r="A15" s="5" t="inlineStr">
        <is>
          <t>Ocupações diretas</t>
        </is>
      </c>
      <c r="B15" s="22">
        <f>'01_premissas'!B10</f>
        <v/>
      </c>
      <c r="C15" s="7" t="n">
        <v>4060</v>
      </c>
      <c r="D15" s="22">
        <f>B15-C15</f>
        <v/>
      </c>
      <c r="E15" s="5" t="inlineStr">
        <is>
          <t>Premissa. Uma vez.</t>
        </is>
      </c>
    </row>
    <row r="16">
      <c r="A16" s="5" t="inlineStr">
        <is>
          <t>Ocupações do tipo I no RS</t>
        </is>
      </c>
      <c r="B16" s="8">
        <f>B15+B14</f>
        <v/>
      </c>
      <c r="C16" s="8">
        <f>C15+C14</f>
        <v/>
      </c>
      <c r="D16" s="8">
        <f>B16-C16</f>
        <v/>
      </c>
      <c r="E16" s="5" t="inlineStr">
        <is>
          <t>Direto + indireto no RS.</t>
        </is>
      </c>
    </row>
    <row r="17">
      <c r="A17" s="5" t="inlineStr">
        <is>
          <t>Diferença do indireto no RS</t>
        </is>
      </c>
      <c r="B17" s="15">
        <f>D8/C8</f>
        <v/>
      </c>
      <c r="E17" s="5" t="inlineStr">
        <is>
          <t>Fora da banda de 10% a 20%. A origem agora é a NF-e.</t>
        </is>
      </c>
    </row>
    <row r="18">
      <c r="A18" s="5" t="inlineStr">
        <is>
          <t>Diferença do tipo I no RS</t>
        </is>
      </c>
      <c r="B18" s="15">
        <f>D10/C10</f>
        <v/>
      </c>
      <c r="E18" s="5" t="inlineStr">
        <is>
          <t>Dentro da banda de 10% a 20%, porque o direto de R$ 7.830 milhões é comum.</t>
        </is>
      </c>
    </row>
    <row r="19">
      <c r="A19" s="5" t="inlineStr">
        <is>
          <t>Conteúdo local dos insumos que não são folha, NF-e</t>
        </is>
      </c>
      <c r="B19" s="11" t="n">
        <v>0.4465894214330546</v>
      </c>
      <c r="C19" s="11" t="n">
        <v>0.0985622170007082</v>
      </c>
      <c r="D19" s="15">
        <f>B19-C19</f>
        <v/>
      </c>
      <c r="E19" s="5" t="inlineStr">
        <is>
          <t>Coluna Ipea: oferta ao RS. Coluna MIP-RS: percentual manual, 9,9%. 44,7% fica fora da banda de 10% a 20%.</t>
        </is>
      </c>
    </row>
  </sheetData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62" customWidth="1" min="3" max="3"/>
  </cols>
  <sheetData>
    <row r="1" ht="24" customHeight="1">
      <c r="A1" s="1" t="inlineStr">
        <is>
          <t>Obra 2026–2027 — número da MIP-RS, fora de 2037</t>
        </is>
      </c>
    </row>
    <row r="2" ht="18" customHeight="1">
      <c r="A2" s="2" t="inlineStr">
        <is>
          <t>R$ milhões de 2025. Este bloco não entra no ano cheio.</t>
        </is>
      </c>
    </row>
    <row r="3" ht="32" customHeight="1">
      <c r="A3" s="2" t="inlineStr">
        <is>
          <t>A MAI da fabricação de fumo no RS é receita geral de investimento (máquina 40,4%, veículo 16,0%, construção 10,5%, resto do mundo 38,5%). Não reparte a parcela local já estimada. O efeito permanece o da MIP-RS 2019.</t>
        </is>
      </c>
    </row>
    <row r="6">
      <c r="A6" s="3" t="inlineStr">
        <is>
          <t>Item</t>
        </is>
      </c>
      <c r="B6" s="3" t="inlineStr">
        <is>
          <t>Valor</t>
        </is>
      </c>
      <c r="C6" s="3" t="inlineStr">
        <is>
          <t>Origem</t>
        </is>
      </c>
    </row>
    <row r="7">
      <c r="A7" s="5" t="inlineStr">
        <is>
          <t>CAPEX total</t>
        </is>
      </c>
      <c r="B7" s="6" t="n">
        <v>1634.71453258</v>
      </c>
      <c r="C7" s="5" t="inlineStr">
        <is>
          <t>Estimativa calibrada, já publicada.</t>
        </is>
      </c>
    </row>
    <row r="8">
      <c r="A8" s="5" t="inlineStr">
        <is>
          <t>Parcela gaúcha</t>
        </is>
      </c>
      <c r="B8" s="6" t="n">
        <v>483.87550165</v>
      </c>
      <c r="C8" s="5" t="inlineStr">
        <is>
          <t>Obra civil, montagem e engenharia.</t>
        </is>
      </c>
    </row>
    <row r="9">
      <c r="A9" s="5" t="inlineStr">
        <is>
          <t>Máquinas e serviços importados</t>
        </is>
      </c>
      <c r="B9" s="6" t="n">
        <v>1150.83903094</v>
      </c>
      <c r="C9" s="5" t="inlineStr">
        <is>
          <t>Fora do choque.</t>
        </is>
      </c>
    </row>
    <row r="10">
      <c r="A10" s="5" t="inlineStr">
        <is>
          <t>Produção gerada no RS</t>
        </is>
      </c>
      <c r="B10" s="6" t="n">
        <v>740.3562866699999</v>
      </c>
      <c r="C10" s="5" t="inlineStr">
        <is>
          <t>MIP-RS 2019.</t>
        </is>
      </c>
    </row>
    <row r="11">
      <c r="A11" s="5" t="inlineStr">
        <is>
          <t>Valor adicionado no RS</t>
        </is>
      </c>
      <c r="B11" s="6" t="n">
        <v>341.75584754</v>
      </c>
      <c r="C11" s="5" t="inlineStr">
        <is>
          <t>MIP-RS 2019.</t>
        </is>
      </c>
    </row>
    <row r="12">
      <c r="A12" s="5" t="inlineStr">
        <is>
          <t>Remunerações</t>
        </is>
      </c>
      <c r="B12" s="6" t="n">
        <v>125.47824633</v>
      </c>
      <c r="C12" s="5" t="inlineStr">
        <is>
          <t>MIP-RS 2019.</t>
        </is>
      </c>
    </row>
    <row r="13">
      <c r="A13" s="5" t="inlineStr">
        <is>
          <t>Ocupações do Leontief</t>
        </is>
      </c>
      <c r="B13" s="6" t="n">
        <v>4356.901637</v>
      </c>
      <c r="C13" s="5" t="inlineStr">
        <is>
          <t>MIP-RS 2019.</t>
        </is>
      </c>
    </row>
    <row r="14">
      <c r="A14" s="5" t="inlineStr">
        <is>
          <t>Postos temporários na construção</t>
        </is>
      </c>
      <c r="B14" s="6" t="n">
        <v>2639.483276</v>
      </c>
      <c r="C14" s="5" t="inlineStr">
        <is>
          <t>MIP-RS 2019. Fora das 4.060.</t>
        </is>
      </c>
    </row>
    <row r="15">
      <c r="A15" s="5" t="inlineStr">
        <is>
          <t>ISS em Santa Cruz do Sul</t>
        </is>
      </c>
      <c r="B15" s="23">
        <f>0.02*0.5*B8</f>
        <v/>
      </c>
      <c r="C15" s="5" t="inlineStr">
        <is>
          <t>2% sobre metade da parcela local. Uma vez, no biênio. Fora de 2037.</t>
        </is>
      </c>
    </row>
  </sheetData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55" customWidth="1" min="3" max="3"/>
  </cols>
  <sheetData>
    <row r="1" ht="24" customHeight="1">
      <c r="A1" s="1" t="inlineStr">
        <is>
          <t>Fiscal de referência — premissas, hipótese FUNDOPEM</t>
        </is>
      </c>
    </row>
    <row r="2" ht="18" customHeight="1">
      <c r="A2" s="2" t="inlineStr">
        <is>
          <t>R$ milhões de 2025. Hipótese de cálculo, não incentivo concedido.</t>
        </is>
      </c>
    </row>
    <row r="3" ht="32" customHeight="1">
      <c r="A3" s="2" t="inlineStr">
        <is>
          <t>Revisão 4 e Lei 15.642/2021. O desenho de 30% por 96 meses, sem INTEGRAR, permanece.</t>
        </is>
      </c>
    </row>
    <row r="6">
      <c r="A6" s="3" t="inlineStr">
        <is>
          <t>Canal</t>
        </is>
      </c>
      <c r="B6" s="3" t="inlineStr">
        <is>
          <t>Valor</t>
        </is>
      </c>
      <c r="C6" s="3" t="inlineStr">
        <is>
          <t>Nota</t>
        </is>
      </c>
    </row>
    <row r="7">
      <c r="A7" s="5" t="inlineStr">
        <is>
          <t>Tributos sobre o consumo no Brasil</t>
        </is>
      </c>
      <c r="B7" s="24" t="n">
        <v>13700</v>
      </c>
      <c r="C7" s="5" t="inlineStr">
        <is>
          <t>Memória da revisão 4.</t>
        </is>
      </c>
    </row>
    <row r="8">
      <c r="A8" s="5" t="inlineStr">
        <is>
          <t>Dos quais federais</t>
        </is>
      </c>
      <c r="B8" s="24" t="n">
        <v>6580</v>
      </c>
      <c r="C8" s="5" t="inlineStr"/>
    </row>
    <row r="9">
      <c r="A9" s="5" t="inlineStr">
        <is>
          <t>Tributos sobre o consumo no RS</t>
        </is>
      </c>
      <c r="B9" s="24" t="n">
        <v>928</v>
      </c>
      <c r="C9" s="5" t="inlineStr">
        <is>
          <t>Cerca de 6,8% do nacional.</t>
        </is>
      </c>
    </row>
    <row r="10">
      <c r="A10" s="5" t="inlineStr">
        <is>
          <t>ICMS estadual e municipal no RS</t>
        </is>
      </c>
      <c r="B10" s="24" t="n">
        <v>480</v>
      </c>
      <c r="C10" s="5" t="inlineStr">
        <is>
          <t>Base da hipótese.</t>
        </is>
      </c>
    </row>
    <row r="11">
      <c r="A11" s="5" t="inlineStr">
        <is>
          <t>Cota-parte municipal, 25%</t>
        </is>
      </c>
      <c r="B11" s="25">
        <f>B10*0.25</f>
        <v/>
      </c>
      <c r="C11" s="5" t="inlineStr">
        <is>
          <t>Fórmula.</t>
        </is>
      </c>
    </row>
    <row r="12">
      <c r="A12" s="5" t="inlineStr">
        <is>
          <t>ICMS estadual líquido da cota</t>
        </is>
      </c>
      <c r="B12" s="26">
        <f>B10-B11</f>
        <v/>
      </c>
      <c r="C12" s="5" t="inlineStr">
        <is>
          <t>Fórmula.</t>
        </is>
      </c>
    </row>
    <row r="13">
      <c r="A13" s="5" t="inlineStr">
        <is>
          <t>IRPJ/CSLL da planta</t>
        </is>
      </c>
      <c r="B13" s="27" t="n">
        <v>1227.57</v>
      </c>
      <c r="C13" s="5" t="inlineStr">
        <is>
          <t>34% sobre 50% do excedente, com exportação.</t>
        </is>
      </c>
    </row>
    <row r="14">
      <c r="A14" s="5" t="inlineStr">
        <is>
          <t>Diferimento, 30% de 96 meses</t>
        </is>
      </c>
      <c r="B14" s="25">
        <f>B10*0.30</f>
        <v/>
      </c>
      <c r="C14" s="5" t="inlineStr">
        <is>
          <t>Hipótese. Não é renúncia permanente.</t>
        </is>
      </c>
    </row>
    <row r="15">
      <c r="A15" s="5" t="inlineStr">
        <is>
          <t>Líquido no ano de fruição</t>
        </is>
      </c>
      <c r="B15" s="26">
        <f>B10-B14</f>
        <v/>
      </c>
      <c r="C15" s="5" t="inlineStr">
        <is>
          <t>Bruto municipal e estadual menos o diferimento.</t>
        </is>
      </c>
    </row>
    <row r="16">
      <c r="A16" s="5" t="inlineStr">
        <is>
          <t>ISS da obra</t>
        </is>
      </c>
      <c r="B16" s="25">
        <f>'08_obra'!B15</f>
        <v/>
      </c>
      <c r="C16" s="5" t="inlineStr">
        <is>
          <t>Aba 08. Fora de 2037.</t>
        </is>
      </c>
    </row>
  </sheetData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50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2" customWidth="1" min="9" max="9"/>
    <col width="16" customWidth="1" min="10" max="10"/>
    <col width="16" customWidth="1" min="11" max="11"/>
    <col width="14" customWidth="1" min="12" max="12"/>
    <col width="16" customWidth="1" min="14" max="14"/>
    <col width="16" customWidth="1" min="15" max="15"/>
    <col width="16" customWidth="1" min="16" max="16"/>
    <col width="16" customWidth="1" min="17" max="17"/>
  </cols>
  <sheetData>
    <row r="1" ht="24" customHeight="1">
      <c r="A1" s="1" t="inlineStr">
        <is>
          <t>Transbordamento por município</t>
        </is>
      </c>
    </row>
    <row r="2" ht="18" customHeight="1">
      <c r="A2" s="2" t="inlineStr">
        <is>
          <t>R$ milhões de 2025. Transbordamento = folha + indústria + serviços + induzido. O direto fica em coluna própria e fora da cor.</t>
        </is>
      </c>
    </row>
    <row r="3" ht="32" customHeight="1">
      <c r="A3" s="2" t="inlineStr">
        <is>
          <t>Fonte: va_por_municipio.csv, indireto Ipea no RS mais induzido. O ajuste de fechamento volta a Santa Cruz do Sul. A conferência, em reais, é zero.</t>
        </is>
      </c>
    </row>
    <row r="5">
      <c r="A5" s="4" t="inlineStr">
        <is>
          <t>Ajuste da cadeia, R$ mi</t>
        </is>
      </c>
      <c r="B5" s="28">
        <f>va_cadeia-SUM(N10:P506)</f>
        <v/>
      </c>
      <c r="C5" s="5" t="inlineStr">
        <is>
          <t>Volta para serviços de Santa Cruz do Sul.</t>
        </is>
      </c>
    </row>
    <row r="6">
      <c r="A6" s="4" t="inlineStr">
        <is>
          <t>Ajuste do induzido, R$ mi</t>
        </is>
      </c>
      <c r="B6" s="28">
        <f>va_induzido-SUM(Q10:Q506)</f>
        <v/>
      </c>
      <c r="C6" s="5" t="inlineStr">
        <is>
          <t>Volta para o induzido de Santa Cruz do Sul.</t>
        </is>
      </c>
    </row>
    <row r="7">
      <c r="A7" s="4" t="inlineStr">
        <is>
          <t>Conferência municipal, R$</t>
        </is>
      </c>
      <c r="B7" s="16">
        <f>ROUND((G507-va_cadeia-va_induzido)*1000000,2)</f>
        <v/>
      </c>
      <c r="C7" s="5" t="inlineStr">
        <is>
          <t>Zero se a soma dos 497 municípios iguala o indireto Ipea no RS mais o induzido.</t>
        </is>
      </c>
    </row>
    <row r="9">
      <c r="A9" s="3" t="inlineStr">
        <is>
          <t>Código IBGE</t>
        </is>
      </c>
      <c r="B9" s="3" t="inlineStr">
        <is>
          <t>Município</t>
        </is>
      </c>
      <c r="C9" s="3" t="inlineStr">
        <is>
          <t>Folha (R$ mi)</t>
        </is>
      </c>
      <c r="D9" s="3" t="inlineStr">
        <is>
          <t>Indústria (R$ mi)</t>
        </is>
      </c>
      <c r="E9" s="3" t="inlineStr">
        <is>
          <t>Serviços (R$ mi)</t>
        </is>
      </c>
      <c r="F9" s="3" t="inlineStr">
        <is>
          <t>Induzido (R$ mi)</t>
        </is>
      </c>
      <c r="G9" s="3" t="inlineStr">
        <is>
          <t>Transbordamento (R$ mi)</t>
        </is>
      </c>
      <c r="H9" s="3" t="inlineStr">
        <is>
          <t>VA direto (R$ mi)</t>
        </is>
      </c>
      <c r="I9" s="3" t="inlineStr">
        <is>
          <t>COREDE</t>
        </is>
      </c>
      <c r="J9" s="3" t="inlineStr">
        <is>
          <t>PAM 2025 (t)</t>
        </is>
      </c>
      <c r="K9" s="3" t="inlineStr">
        <is>
          <t>Compra nova 2037 (t)</t>
        </is>
      </c>
      <c r="L9" s="3" t="inlineStr">
        <is>
          <t>Distância à sede (km)</t>
        </is>
      </c>
      <c r="N9" s="29" t="inlineStr">
        <is>
          <t>Folha CSV</t>
        </is>
      </c>
      <c r="O9" s="29" t="inlineStr">
        <is>
          <t>Indústria CSV</t>
        </is>
      </c>
      <c r="P9" s="29" t="inlineStr">
        <is>
          <t>Serviços CSV</t>
        </is>
      </c>
      <c r="Q9" s="29" t="inlineStr">
        <is>
          <t>Induzido CSV</t>
        </is>
      </c>
    </row>
    <row r="10">
      <c r="A10" s="30" t="n">
        <v>4300034</v>
      </c>
      <c r="B10" s="5" t="inlineStr">
        <is>
          <t>Aceguá</t>
        </is>
      </c>
      <c r="C10" s="19">
        <f>N10</f>
        <v/>
      </c>
      <c r="D10" s="19">
        <f>O10</f>
        <v/>
      </c>
      <c r="E10" s="19">
        <f>P10</f>
        <v/>
      </c>
      <c r="F10" s="19">
        <f>Q10</f>
        <v/>
      </c>
      <c r="G10" s="19">
        <f>C10+D10+E10+F10</f>
        <v/>
      </c>
      <c r="H10" s="6" t="n">
        <v>0</v>
      </c>
      <c r="I10" s="31" t="n">
        <v>0</v>
      </c>
      <c r="J10" s="6" t="n">
        <v>0</v>
      </c>
      <c r="K10" s="12" t="n">
        <v>0</v>
      </c>
      <c r="L10" s="6" t="n">
        <v>281</v>
      </c>
      <c r="N10" s="18" t="n">
        <v>0</v>
      </c>
      <c r="O10" s="18" t="n">
        <v>0</v>
      </c>
      <c r="P10" s="18" t="n">
        <v>0</v>
      </c>
      <c r="Q10" s="18" t="n">
        <v>0.005442</v>
      </c>
    </row>
    <row r="11">
      <c r="A11" s="30" t="n">
        <v>4300059</v>
      </c>
      <c r="B11" s="5" t="inlineStr">
        <is>
          <t>Água Santa</t>
        </is>
      </c>
      <c r="C11" s="19">
        <f>N11</f>
        <v/>
      </c>
      <c r="D11" s="19">
        <f>O11</f>
        <v/>
      </c>
      <c r="E11" s="19">
        <f>P11</f>
        <v/>
      </c>
      <c r="F11" s="19">
        <f>Q11</f>
        <v/>
      </c>
      <c r="G11" s="19">
        <f>C11+D11+E11+F11</f>
        <v/>
      </c>
      <c r="H11" s="6" t="n">
        <v>0</v>
      </c>
      <c r="I11" s="31" t="n">
        <v>0</v>
      </c>
      <c r="J11" s="6" t="n">
        <v>0</v>
      </c>
      <c r="K11" s="12" t="n">
        <v>0</v>
      </c>
      <c r="L11" s="6" t="n">
        <v>162.6</v>
      </c>
      <c r="N11" s="18" t="n">
        <v>0</v>
      </c>
      <c r="O11" s="18" t="n">
        <v>0.136533</v>
      </c>
      <c r="P11" s="18" t="n">
        <v>0.158337</v>
      </c>
      <c r="Q11" s="18" t="n">
        <v>0.304659</v>
      </c>
    </row>
    <row r="12">
      <c r="A12" s="30" t="n">
        <v>4300109</v>
      </c>
      <c r="B12" s="5" t="inlineStr">
        <is>
          <t>Agudo</t>
        </is>
      </c>
      <c r="C12" s="19">
        <f>N12</f>
        <v/>
      </c>
      <c r="D12" s="19">
        <f>O12</f>
        <v/>
      </c>
      <c r="E12" s="19">
        <f>P12</f>
        <v/>
      </c>
      <c r="F12" s="19">
        <f>Q12</f>
        <v/>
      </c>
      <c r="G12" s="19">
        <f>C12+D12+E12+F12</f>
        <v/>
      </c>
      <c r="H12" s="6" t="n">
        <v>0</v>
      </c>
      <c r="I12" s="31" t="n">
        <v>0</v>
      </c>
      <c r="J12" s="6" t="n">
        <v>4400</v>
      </c>
      <c r="K12" s="12" t="n">
        <v>37.84</v>
      </c>
      <c r="L12" s="6" t="n">
        <v>79.40000000000001</v>
      </c>
      <c r="N12" s="18" t="n">
        <v>0.7363730000000001</v>
      </c>
      <c r="O12" s="18" t="n">
        <v>0.830545</v>
      </c>
      <c r="P12" s="18" t="n">
        <v>0.92364</v>
      </c>
      <c r="Q12" s="18" t="n">
        <v>0.887491</v>
      </c>
    </row>
    <row r="13">
      <c r="A13" s="30" t="n">
        <v>4300208</v>
      </c>
      <c r="B13" s="5" t="inlineStr">
        <is>
          <t>Ajuricaba</t>
        </is>
      </c>
      <c r="C13" s="19">
        <f>N13</f>
        <v/>
      </c>
      <c r="D13" s="19">
        <f>O13</f>
        <v/>
      </c>
      <c r="E13" s="19">
        <f>P13</f>
        <v/>
      </c>
      <c r="F13" s="19">
        <f>Q13</f>
        <v/>
      </c>
      <c r="G13" s="19">
        <f>C13+D13+E13+F13</f>
        <v/>
      </c>
      <c r="H13" s="6" t="n">
        <v>0</v>
      </c>
      <c r="I13" s="31" t="n">
        <v>0</v>
      </c>
      <c r="J13" s="6" t="n">
        <v>0</v>
      </c>
      <c r="K13" s="12" t="n">
        <v>0</v>
      </c>
      <c r="L13" s="6" t="n">
        <v>205.3</v>
      </c>
      <c r="N13" s="18" t="n">
        <v>0</v>
      </c>
      <c r="O13" s="18" t="n">
        <v>0.083235</v>
      </c>
      <c r="P13" s="18" t="n">
        <v>0.148069</v>
      </c>
      <c r="Q13" s="18" t="n">
        <v>0.089908</v>
      </c>
    </row>
    <row r="14">
      <c r="A14" s="30" t="n">
        <v>4300307</v>
      </c>
      <c r="B14" s="5" t="inlineStr">
        <is>
          <t>Alecrim</t>
        </is>
      </c>
      <c r="C14" s="19">
        <f>N14</f>
        <v/>
      </c>
      <c r="D14" s="19">
        <f>O14</f>
        <v/>
      </c>
      <c r="E14" s="19">
        <f>P14</f>
        <v/>
      </c>
      <c r="F14" s="19">
        <f>Q14</f>
        <v/>
      </c>
      <c r="G14" s="19">
        <f>C14+D14+E14+F14</f>
        <v/>
      </c>
      <c r="H14" s="6" t="n">
        <v>0</v>
      </c>
      <c r="I14" s="31" t="n">
        <v>0</v>
      </c>
      <c r="J14" s="6" t="n">
        <v>30</v>
      </c>
      <c r="K14" s="12" t="n">
        <v>0.258</v>
      </c>
      <c r="L14" s="6" t="n">
        <v>320.6</v>
      </c>
      <c r="N14" s="18" t="n">
        <v>0.005021</v>
      </c>
      <c r="O14" s="18" t="n">
        <v>0</v>
      </c>
      <c r="P14" s="18" t="n">
        <v>0</v>
      </c>
      <c r="Q14" s="18" t="n">
        <v>0.01242</v>
      </c>
    </row>
    <row r="15">
      <c r="A15" s="30" t="n">
        <v>4300406</v>
      </c>
      <c r="B15" s="5" t="inlineStr">
        <is>
          <t>Alegrete</t>
        </is>
      </c>
      <c r="C15" s="19">
        <f>N15</f>
        <v/>
      </c>
      <c r="D15" s="19">
        <f>O15</f>
        <v/>
      </c>
      <c r="E15" s="19">
        <f>P15</f>
        <v/>
      </c>
      <c r="F15" s="19">
        <f>Q15</f>
        <v/>
      </c>
      <c r="G15" s="19">
        <f>C15+D15+E15+F15</f>
        <v/>
      </c>
      <c r="H15" s="6" t="n">
        <v>0</v>
      </c>
      <c r="I15" s="31" t="n">
        <v>0</v>
      </c>
      <c r="J15" s="6" t="n">
        <v>0</v>
      </c>
      <c r="K15" s="12" t="n">
        <v>0</v>
      </c>
      <c r="L15" s="6" t="n">
        <v>331.8</v>
      </c>
      <c r="N15" s="18" t="n">
        <v>0</v>
      </c>
      <c r="O15" s="18" t="n">
        <v>0</v>
      </c>
      <c r="P15" s="18" t="n">
        <v>0</v>
      </c>
      <c r="Q15" s="18" t="n">
        <v>0.006054</v>
      </c>
    </row>
    <row r="16">
      <c r="A16" s="30" t="n">
        <v>4300455</v>
      </c>
      <c r="B16" s="5" t="inlineStr">
        <is>
          <t>Alegria</t>
        </is>
      </c>
      <c r="C16" s="19">
        <f>N16</f>
        <v/>
      </c>
      <c r="D16" s="19">
        <f>O16</f>
        <v/>
      </c>
      <c r="E16" s="19">
        <f>P16</f>
        <v/>
      </c>
      <c r="F16" s="19">
        <f>Q16</f>
        <v/>
      </c>
      <c r="G16" s="19">
        <f>C16+D16+E16+F16</f>
        <v/>
      </c>
      <c r="H16" s="6" t="n">
        <v>0</v>
      </c>
      <c r="I16" s="31" t="n">
        <v>0</v>
      </c>
      <c r="J16" s="6" t="n">
        <v>0</v>
      </c>
      <c r="K16" s="12" t="n">
        <v>0</v>
      </c>
      <c r="L16" s="6" t="n">
        <v>259.2</v>
      </c>
      <c r="N16" s="18" t="n">
        <v>0</v>
      </c>
      <c r="O16" s="18" t="n">
        <v>0.024037</v>
      </c>
      <c r="P16" s="18" t="n">
        <v>0.045691</v>
      </c>
      <c r="Q16" s="18" t="n">
        <v>0.031591</v>
      </c>
    </row>
    <row r="17">
      <c r="A17" s="30" t="n">
        <v>4300471</v>
      </c>
      <c r="B17" s="5" t="inlineStr">
        <is>
          <t>Almirante Tamandaré do Sul</t>
        </is>
      </c>
      <c r="C17" s="19">
        <f>N17</f>
        <v/>
      </c>
      <c r="D17" s="19">
        <f>O17</f>
        <v/>
      </c>
      <c r="E17" s="19">
        <f>P17</f>
        <v/>
      </c>
      <c r="F17" s="19">
        <f>Q17</f>
        <v/>
      </c>
      <c r="G17" s="19">
        <f>C17+D17+E17+F17</f>
        <v/>
      </c>
      <c r="H17" s="6" t="n">
        <v>0</v>
      </c>
      <c r="I17" s="31" t="n">
        <v>0</v>
      </c>
      <c r="J17" s="6" t="n">
        <v>0</v>
      </c>
      <c r="K17" s="12" t="n">
        <v>0</v>
      </c>
      <c r="L17" s="6" t="n">
        <v>175.1</v>
      </c>
      <c r="N17" s="18" t="n">
        <v>0</v>
      </c>
      <c r="O17" s="18" t="n">
        <v>0.170583</v>
      </c>
      <c r="P17" s="18" t="n">
        <v>0.07620399999999999</v>
      </c>
      <c r="Q17" s="18" t="n">
        <v>0.131571</v>
      </c>
    </row>
    <row r="18">
      <c r="A18" s="30" t="n">
        <v>4300505</v>
      </c>
      <c r="B18" s="5" t="inlineStr">
        <is>
          <t>Alpestre</t>
        </is>
      </c>
      <c r="C18" s="19">
        <f>N18</f>
        <v/>
      </c>
      <c r="D18" s="19">
        <f>O18</f>
        <v/>
      </c>
      <c r="E18" s="19">
        <f>P18</f>
        <v/>
      </c>
      <c r="F18" s="19">
        <f>Q18</f>
        <v/>
      </c>
      <c r="G18" s="19">
        <f>C18+D18+E18+F18</f>
        <v/>
      </c>
      <c r="H18" s="6" t="n">
        <v>0</v>
      </c>
      <c r="I18" s="31" t="n">
        <v>0</v>
      </c>
      <c r="J18" s="6" t="n">
        <v>2220</v>
      </c>
      <c r="K18" s="12" t="n">
        <v>19.092</v>
      </c>
      <c r="L18" s="6" t="n">
        <v>276.8</v>
      </c>
      <c r="N18" s="18" t="n">
        <v>0.371534</v>
      </c>
      <c r="O18" s="18" t="n">
        <v>0</v>
      </c>
      <c r="P18" s="18" t="n">
        <v>0</v>
      </c>
      <c r="Q18" s="18" t="n">
        <v>0.049405</v>
      </c>
    </row>
    <row r="19">
      <c r="A19" s="30" t="n">
        <v>4300554</v>
      </c>
      <c r="B19" s="5" t="inlineStr">
        <is>
          <t>Alto Alegre</t>
        </is>
      </c>
      <c r="C19" s="19">
        <f>N19</f>
        <v/>
      </c>
      <c r="D19" s="19">
        <f>O19</f>
        <v/>
      </c>
      <c r="E19" s="19">
        <f>P19</f>
        <v/>
      </c>
      <c r="F19" s="19">
        <f>Q19</f>
        <v/>
      </c>
      <c r="G19" s="19">
        <f>C19+D19+E19+F19</f>
        <v/>
      </c>
      <c r="H19" s="6" t="n">
        <v>0</v>
      </c>
      <c r="I19" s="31" t="n">
        <v>0</v>
      </c>
      <c r="J19" s="6" t="n">
        <v>0</v>
      </c>
      <c r="K19" s="12" t="n">
        <v>0</v>
      </c>
      <c r="L19" s="6" t="n">
        <v>109.1</v>
      </c>
      <c r="N19" s="18" t="n">
        <v>0</v>
      </c>
      <c r="O19" s="18" t="n">
        <v>0.114226</v>
      </c>
      <c r="P19" s="18" t="n">
        <v>0.157702</v>
      </c>
      <c r="Q19" s="18" t="n">
        <v>0.230637</v>
      </c>
    </row>
    <row r="20">
      <c r="A20" s="30" t="n">
        <v>4300570</v>
      </c>
      <c r="B20" s="5" t="inlineStr">
        <is>
          <t>Alto Feliz</t>
        </is>
      </c>
      <c r="C20" s="19">
        <f>N20</f>
        <v/>
      </c>
      <c r="D20" s="19">
        <f>O20</f>
        <v/>
      </c>
      <c r="E20" s="19">
        <f>P20</f>
        <v/>
      </c>
      <c r="F20" s="19">
        <f>Q20</f>
        <v/>
      </c>
      <c r="G20" s="19">
        <f>C20+D20+E20+F20</f>
        <v/>
      </c>
      <c r="H20" s="6" t="n">
        <v>0</v>
      </c>
      <c r="I20" s="31" t="n">
        <v>0</v>
      </c>
      <c r="J20" s="6" t="n">
        <v>0</v>
      </c>
      <c r="K20" s="12" t="n">
        <v>0</v>
      </c>
      <c r="L20" s="6" t="n">
        <v>111.3</v>
      </c>
      <c r="N20" s="18" t="n">
        <v>0</v>
      </c>
      <c r="O20" s="18" t="n">
        <v>0.615003</v>
      </c>
      <c r="P20" s="18" t="n">
        <v>0.151102</v>
      </c>
      <c r="Q20" s="18" t="n">
        <v>0.891853</v>
      </c>
    </row>
    <row r="21">
      <c r="A21" s="30" t="n">
        <v>4300604</v>
      </c>
      <c r="B21" s="5" t="inlineStr">
        <is>
          <t>Alvorada</t>
        </is>
      </c>
      <c r="C21" s="19">
        <f>N21</f>
        <v/>
      </c>
      <c r="D21" s="19">
        <f>O21</f>
        <v/>
      </c>
      <c r="E21" s="19">
        <f>P21</f>
        <v/>
      </c>
      <c r="F21" s="19">
        <f>Q21</f>
        <v/>
      </c>
      <c r="G21" s="19">
        <f>C21+D21+E21+F21</f>
        <v/>
      </c>
      <c r="H21" s="6" t="n">
        <v>0</v>
      </c>
      <c r="I21" s="31" t="n">
        <v>0</v>
      </c>
      <c r="J21" s="6" t="n">
        <v>0</v>
      </c>
      <c r="K21" s="12" t="n">
        <v>0</v>
      </c>
      <c r="L21" s="6" t="n">
        <v>137.8</v>
      </c>
      <c r="N21" s="18" t="n">
        <v>0</v>
      </c>
      <c r="O21" s="18" t="n">
        <v>17.315243</v>
      </c>
      <c r="P21" s="18" t="n">
        <v>1.229372</v>
      </c>
      <c r="Q21" s="18" t="n">
        <v>6.765189</v>
      </c>
    </row>
    <row r="22">
      <c r="A22" s="30" t="n">
        <v>4300638</v>
      </c>
      <c r="B22" s="5" t="inlineStr">
        <is>
          <t>Amaral Ferrador</t>
        </is>
      </c>
      <c r="C22" s="19">
        <f>N22</f>
        <v/>
      </c>
      <c r="D22" s="19">
        <f>O22</f>
        <v/>
      </c>
      <c r="E22" s="19">
        <f>P22</f>
        <v/>
      </c>
      <c r="F22" s="19">
        <f>Q22</f>
        <v/>
      </c>
      <c r="G22" s="19">
        <f>C22+D22+E22+F22</f>
        <v/>
      </c>
      <c r="H22" s="6" t="n">
        <v>0</v>
      </c>
      <c r="I22" s="31" t="n">
        <v>0</v>
      </c>
      <c r="J22" s="6" t="n">
        <v>4950</v>
      </c>
      <c r="K22" s="12" t="n">
        <v>42.57</v>
      </c>
      <c r="L22" s="6" t="n">
        <v>129.5</v>
      </c>
      <c r="N22" s="18" t="n">
        <v>0.82842</v>
      </c>
      <c r="O22" s="18" t="n">
        <v>0.032288</v>
      </c>
      <c r="P22" s="18" t="n">
        <v>0.135067</v>
      </c>
      <c r="Q22" s="18" t="n">
        <v>0.359087</v>
      </c>
    </row>
    <row r="23">
      <c r="A23" s="30" t="n">
        <v>4300646</v>
      </c>
      <c r="B23" s="5" t="inlineStr">
        <is>
          <t>Ametista do Sul</t>
        </is>
      </c>
      <c r="C23" s="19">
        <f>N23</f>
        <v/>
      </c>
      <c r="D23" s="19">
        <f>O23</f>
        <v/>
      </c>
      <c r="E23" s="19">
        <f>P23</f>
        <v/>
      </c>
      <c r="F23" s="19">
        <f>Q23</f>
        <v/>
      </c>
      <c r="G23" s="19">
        <f>C23+D23+E23+F23</f>
        <v/>
      </c>
      <c r="H23" s="6" t="n">
        <v>0</v>
      </c>
      <c r="I23" s="31" t="n">
        <v>0</v>
      </c>
      <c r="J23" s="6" t="n">
        <v>6</v>
      </c>
      <c r="K23" s="12" t="n">
        <v>0.052</v>
      </c>
      <c r="L23" s="6" t="n">
        <v>264.2</v>
      </c>
      <c r="N23" s="18" t="n">
        <v>0.001004</v>
      </c>
      <c r="O23" s="18" t="n">
        <v>0</v>
      </c>
      <c r="P23" s="18" t="n">
        <v>0</v>
      </c>
      <c r="Q23" s="18" t="n">
        <v>0.058296</v>
      </c>
    </row>
    <row r="24">
      <c r="A24" s="30" t="n">
        <v>4300661</v>
      </c>
      <c r="B24" s="5" t="inlineStr">
        <is>
          <t>André da Rocha</t>
        </is>
      </c>
      <c r="C24" s="19">
        <f>N24</f>
        <v/>
      </c>
      <c r="D24" s="19">
        <f>O24</f>
        <v/>
      </c>
      <c r="E24" s="19">
        <f>P24</f>
        <v/>
      </c>
      <c r="F24" s="19">
        <f>Q24</f>
        <v/>
      </c>
      <c r="G24" s="19">
        <f>C24+D24+E24+F24</f>
        <v/>
      </c>
      <c r="H24" s="6" t="n">
        <v>0</v>
      </c>
      <c r="I24" s="31" t="n">
        <v>0</v>
      </c>
      <c r="J24" s="6" t="n">
        <v>0</v>
      </c>
      <c r="K24" s="12" t="n">
        <v>0</v>
      </c>
      <c r="L24" s="6" t="n">
        <v>146</v>
      </c>
      <c r="N24" s="18" t="n">
        <v>0</v>
      </c>
      <c r="O24" s="18" t="n">
        <v>0.106433</v>
      </c>
      <c r="P24" s="18" t="n">
        <v>0.083734</v>
      </c>
      <c r="Q24" s="18" t="n">
        <v>0.292938</v>
      </c>
    </row>
    <row r="25">
      <c r="A25" s="30" t="n">
        <v>4300703</v>
      </c>
      <c r="B25" s="5" t="inlineStr">
        <is>
          <t>Anta Gorda</t>
        </is>
      </c>
      <c r="C25" s="19">
        <f>N25</f>
        <v/>
      </c>
      <c r="D25" s="19">
        <f>O25</f>
        <v/>
      </c>
      <c r="E25" s="19">
        <f>P25</f>
        <v/>
      </c>
      <c r="F25" s="19">
        <f>Q25</f>
        <v/>
      </c>
      <c r="G25" s="19">
        <f>C25+D25+E25+F25</f>
        <v/>
      </c>
      <c r="H25" s="6" t="n">
        <v>0</v>
      </c>
      <c r="I25" s="31" t="n">
        <v>0</v>
      </c>
      <c r="J25" s="6" t="n">
        <v>1200</v>
      </c>
      <c r="K25" s="12" t="n">
        <v>10.32</v>
      </c>
      <c r="L25" s="6" t="n">
        <v>85</v>
      </c>
      <c r="N25" s="18" t="n">
        <v>0.200829</v>
      </c>
      <c r="O25" s="18" t="n">
        <v>0.524881</v>
      </c>
      <c r="P25" s="18" t="n">
        <v>0.609897</v>
      </c>
      <c r="Q25" s="18" t="n">
        <v>0.945752</v>
      </c>
    </row>
    <row r="26">
      <c r="A26" s="30" t="n">
        <v>4300802</v>
      </c>
      <c r="B26" s="5" t="inlineStr">
        <is>
          <t>Antônio Prado</t>
        </is>
      </c>
      <c r="C26" s="19">
        <f>N26</f>
        <v/>
      </c>
      <c r="D26" s="19">
        <f>O26</f>
        <v/>
      </c>
      <c r="E26" s="19">
        <f>P26</f>
        <v/>
      </c>
      <c r="F26" s="19">
        <f>Q26</f>
        <v/>
      </c>
      <c r="G26" s="19">
        <f>C26+D26+E26+F26</f>
        <v/>
      </c>
      <c r="H26" s="6" t="n">
        <v>0</v>
      </c>
      <c r="I26" s="31" t="n">
        <v>0</v>
      </c>
      <c r="J26" s="6" t="n">
        <v>0</v>
      </c>
      <c r="K26" s="12" t="n">
        <v>0</v>
      </c>
      <c r="L26" s="6" t="n">
        <v>135.6</v>
      </c>
      <c r="N26" s="18" t="n">
        <v>0</v>
      </c>
      <c r="O26" s="18" t="n">
        <v>0.8941480000000001</v>
      </c>
      <c r="P26" s="18" t="n">
        <v>0.48001</v>
      </c>
      <c r="Q26" s="18" t="n">
        <v>1.304966</v>
      </c>
    </row>
    <row r="27">
      <c r="A27" s="30" t="n">
        <v>4300851</v>
      </c>
      <c r="B27" s="5" t="inlineStr">
        <is>
          <t>Arambaré</t>
        </is>
      </c>
      <c r="C27" s="19">
        <f>N27</f>
        <v/>
      </c>
      <c r="D27" s="19">
        <f>O27</f>
        <v/>
      </c>
      <c r="E27" s="19">
        <f>P27</f>
        <v/>
      </c>
      <c r="F27" s="19">
        <f>Q27</f>
        <v/>
      </c>
      <c r="G27" s="19">
        <f>C27+D27+E27+F27</f>
        <v/>
      </c>
      <c r="H27" s="6" t="n">
        <v>0</v>
      </c>
      <c r="I27" s="31" t="n">
        <v>0</v>
      </c>
      <c r="J27" s="6" t="n">
        <v>0</v>
      </c>
      <c r="K27" s="12" t="n">
        <v>0</v>
      </c>
      <c r="L27" s="6" t="n">
        <v>162.1</v>
      </c>
      <c r="N27" s="18" t="n">
        <v>0</v>
      </c>
      <c r="O27" s="18" t="n">
        <v>0.028962</v>
      </c>
      <c r="P27" s="18" t="n">
        <v>0.129996</v>
      </c>
      <c r="Q27" s="18" t="n">
        <v>0.341239</v>
      </c>
    </row>
    <row r="28">
      <c r="A28" s="30" t="n">
        <v>4300877</v>
      </c>
      <c r="B28" s="5" t="inlineStr">
        <is>
          <t>Araricá</t>
        </is>
      </c>
      <c r="C28" s="19">
        <f>N28</f>
        <v/>
      </c>
      <c r="D28" s="19">
        <f>O28</f>
        <v/>
      </c>
      <c r="E28" s="19">
        <f>P28</f>
        <v/>
      </c>
      <c r="F28" s="19">
        <f>Q28</f>
        <v/>
      </c>
      <c r="G28" s="19">
        <f>C28+D28+E28+F28</f>
        <v/>
      </c>
      <c r="H28" s="6" t="n">
        <v>0</v>
      </c>
      <c r="I28" s="31" t="n">
        <v>0</v>
      </c>
      <c r="J28" s="6" t="n">
        <v>0</v>
      </c>
      <c r="K28" s="12" t="n">
        <v>0</v>
      </c>
      <c r="L28" s="6" t="n">
        <v>142.5</v>
      </c>
      <c r="N28" s="18" t="n">
        <v>0</v>
      </c>
      <c r="O28" s="18" t="n">
        <v>1.236448</v>
      </c>
      <c r="P28" s="18" t="n">
        <v>0.249755</v>
      </c>
      <c r="Q28" s="18" t="n">
        <v>1.410522</v>
      </c>
    </row>
    <row r="29">
      <c r="A29" s="30" t="n">
        <v>4300901</v>
      </c>
      <c r="B29" s="5" t="inlineStr">
        <is>
          <t>Aratiba</t>
        </is>
      </c>
      <c r="C29" s="19">
        <f>N29</f>
        <v/>
      </c>
      <c r="D29" s="19">
        <f>O29</f>
        <v/>
      </c>
      <c r="E29" s="19">
        <f>P29</f>
        <v/>
      </c>
      <c r="F29" s="19">
        <f>Q29</f>
        <v/>
      </c>
      <c r="G29" s="19">
        <f>C29+D29+E29+F29</f>
        <v/>
      </c>
      <c r="H29" s="6" t="n">
        <v>0</v>
      </c>
      <c r="I29" s="31" t="n">
        <v>0</v>
      </c>
      <c r="J29" s="6" t="n">
        <v>0</v>
      </c>
      <c r="K29" s="12" t="n">
        <v>0</v>
      </c>
      <c r="L29" s="6" t="n">
        <v>250.6</v>
      </c>
      <c r="N29" s="18" t="n">
        <v>0</v>
      </c>
      <c r="O29" s="18" t="n">
        <v>0.170136</v>
      </c>
      <c r="P29" s="18" t="n">
        <v>0.09464400000000001</v>
      </c>
      <c r="Q29" s="18" t="n">
        <v>0.080613</v>
      </c>
    </row>
    <row r="30">
      <c r="A30" s="30" t="n">
        <v>4301008</v>
      </c>
      <c r="B30" s="5" t="inlineStr">
        <is>
          <t>Arroio do Meio</t>
        </is>
      </c>
      <c r="C30" s="19">
        <f>N30</f>
        <v/>
      </c>
      <c r="D30" s="19">
        <f>O30</f>
        <v/>
      </c>
      <c r="E30" s="19">
        <f>P30</f>
        <v/>
      </c>
      <c r="F30" s="19">
        <f>Q30</f>
        <v/>
      </c>
      <c r="G30" s="19">
        <f>C30+D30+E30+F30</f>
        <v/>
      </c>
      <c r="H30" s="6" t="n">
        <v>0</v>
      </c>
      <c r="I30" s="31" t="n">
        <v>0</v>
      </c>
      <c r="J30" s="6" t="n">
        <v>2</v>
      </c>
      <c r="K30" s="12" t="n">
        <v>0.017</v>
      </c>
      <c r="L30" s="6" t="n">
        <v>53.2</v>
      </c>
      <c r="N30" s="18" t="n">
        <v>0.000335</v>
      </c>
      <c r="O30" s="18" t="n">
        <v>4.33996</v>
      </c>
      <c r="P30" s="18" t="n">
        <v>1.795284</v>
      </c>
      <c r="Q30" s="18" t="n">
        <v>2.734103</v>
      </c>
    </row>
    <row r="31">
      <c r="A31" s="30" t="n">
        <v>4301057</v>
      </c>
      <c r="B31" s="5" t="inlineStr">
        <is>
          <t>Arroio do Sal</t>
        </is>
      </c>
      <c r="C31" s="19">
        <f>N31</f>
        <v/>
      </c>
      <c r="D31" s="19">
        <f>O31</f>
        <v/>
      </c>
      <c r="E31" s="19">
        <f>P31</f>
        <v/>
      </c>
      <c r="F31" s="19">
        <f>Q31</f>
        <v/>
      </c>
      <c r="G31" s="19">
        <f>C31+D31+E31+F31</f>
        <v/>
      </c>
      <c r="H31" s="6" t="n">
        <v>0</v>
      </c>
      <c r="I31" s="31" t="n">
        <v>0</v>
      </c>
      <c r="J31" s="6" t="n">
        <v>0</v>
      </c>
      <c r="K31" s="12" t="n">
        <v>0</v>
      </c>
      <c r="L31" s="6" t="n">
        <v>243.8</v>
      </c>
      <c r="N31" s="18" t="n">
        <v>0</v>
      </c>
      <c r="O31" s="18" t="n">
        <v>0.07691000000000001</v>
      </c>
      <c r="P31" s="18" t="n">
        <v>0.160626</v>
      </c>
      <c r="Q31" s="18" t="n">
        <v>0.426741</v>
      </c>
    </row>
    <row r="32">
      <c r="A32" s="30" t="n">
        <v>4301073</v>
      </c>
      <c r="B32" s="5" t="inlineStr">
        <is>
          <t>Arroio do Padre</t>
        </is>
      </c>
      <c r="C32" s="19">
        <f>N32</f>
        <v/>
      </c>
      <c r="D32" s="19">
        <f>O32</f>
        <v/>
      </c>
      <c r="E32" s="19">
        <f>P32</f>
        <v/>
      </c>
      <c r="F32" s="19">
        <f>Q32</f>
        <v/>
      </c>
      <c r="G32" s="19">
        <f>C32+D32+E32+F32</f>
        <v/>
      </c>
      <c r="H32" s="6" t="n">
        <v>0</v>
      </c>
      <c r="I32" s="31" t="n">
        <v>0</v>
      </c>
      <c r="J32" s="6" t="n">
        <v>3780</v>
      </c>
      <c r="K32" s="12" t="n">
        <v>32.508</v>
      </c>
      <c r="L32" s="6" t="n">
        <v>199.1</v>
      </c>
      <c r="N32" s="18" t="n">
        <v>0.632612</v>
      </c>
      <c r="O32" s="18" t="n">
        <v>0.044494</v>
      </c>
      <c r="P32" s="18" t="n">
        <v>0.053529</v>
      </c>
      <c r="Q32" s="18" t="n">
        <v>0.047639</v>
      </c>
    </row>
    <row r="33">
      <c r="A33" s="30" t="n">
        <v>4301107</v>
      </c>
      <c r="B33" s="5" t="inlineStr">
        <is>
          <t>Arroio dos Ratos</t>
        </is>
      </c>
      <c r="C33" s="19">
        <f>N33</f>
        <v/>
      </c>
      <c r="D33" s="19">
        <f>O33</f>
        <v/>
      </c>
      <c r="E33" s="19">
        <f>P33</f>
        <v/>
      </c>
      <c r="F33" s="19">
        <f>Q33</f>
        <v/>
      </c>
      <c r="G33" s="19">
        <f>C33+D33+E33+F33</f>
        <v/>
      </c>
      <c r="H33" s="6" t="n">
        <v>0</v>
      </c>
      <c r="I33" s="31" t="n">
        <v>0</v>
      </c>
      <c r="J33" s="6" t="n">
        <v>46</v>
      </c>
      <c r="K33" s="12" t="n">
        <v>0.396</v>
      </c>
      <c r="L33" s="6" t="n">
        <v>87.59999999999999</v>
      </c>
      <c r="N33" s="18" t="n">
        <v>0.007698</v>
      </c>
      <c r="O33" s="18" t="n">
        <v>0.342974</v>
      </c>
      <c r="P33" s="18" t="n">
        <v>0.65848</v>
      </c>
      <c r="Q33" s="18" t="n">
        <v>1.630455</v>
      </c>
    </row>
    <row r="34">
      <c r="A34" s="30" t="n">
        <v>4301206</v>
      </c>
      <c r="B34" s="5" t="inlineStr">
        <is>
          <t>Arroio do Tigre</t>
        </is>
      </c>
      <c r="C34" s="19">
        <f>N34</f>
        <v/>
      </c>
      <c r="D34" s="19">
        <f>O34</f>
        <v/>
      </c>
      <c r="E34" s="19">
        <f>P34</f>
        <v/>
      </c>
      <c r="F34" s="19">
        <f>Q34</f>
        <v/>
      </c>
      <c r="G34" s="19">
        <f>C34+D34+E34+F34</f>
        <v/>
      </c>
      <c r="H34" s="6" t="n">
        <v>0</v>
      </c>
      <c r="I34" s="31" t="n">
        <v>1</v>
      </c>
      <c r="J34" s="6" t="n">
        <v>13464</v>
      </c>
      <c r="K34" s="12" t="n">
        <v>115.79</v>
      </c>
      <c r="L34" s="6" t="n">
        <v>75.90000000000001</v>
      </c>
      <c r="N34" s="18" t="n">
        <v>2.253302</v>
      </c>
      <c r="O34" s="18" t="n">
        <v>0.620661</v>
      </c>
      <c r="P34" s="18" t="n">
        <v>0.776071</v>
      </c>
      <c r="Q34" s="18" t="n">
        <v>0.856941</v>
      </c>
    </row>
    <row r="35">
      <c r="A35" s="30" t="n">
        <v>4301305</v>
      </c>
      <c r="B35" s="5" t="inlineStr">
        <is>
          <t>Arroio Grande</t>
        </is>
      </c>
      <c r="C35" s="19">
        <f>N35</f>
        <v/>
      </c>
      <c r="D35" s="19">
        <f>O35</f>
        <v/>
      </c>
      <c r="E35" s="19">
        <f>P35</f>
        <v/>
      </c>
      <c r="F35" s="19">
        <f>Q35</f>
        <v/>
      </c>
      <c r="G35" s="19">
        <f>C35+D35+E35+F35</f>
        <v/>
      </c>
      <c r="H35" s="6" t="n">
        <v>0</v>
      </c>
      <c r="I35" s="31" t="n">
        <v>0</v>
      </c>
      <c r="J35" s="6" t="n">
        <v>0</v>
      </c>
      <c r="K35" s="12" t="n">
        <v>0</v>
      </c>
      <c r="L35" s="6" t="n">
        <v>286.3</v>
      </c>
      <c r="N35" s="18" t="n">
        <v>0</v>
      </c>
      <c r="O35" s="18" t="n">
        <v>0</v>
      </c>
      <c r="P35" s="18" t="n">
        <v>0</v>
      </c>
      <c r="Q35" s="18" t="n">
        <v>0.023896</v>
      </c>
    </row>
    <row r="36">
      <c r="A36" s="30" t="n">
        <v>4301404</v>
      </c>
      <c r="B36" s="5" t="inlineStr">
        <is>
          <t>Arvorezinha</t>
        </is>
      </c>
      <c r="C36" s="19">
        <f>N36</f>
        <v/>
      </c>
      <c r="D36" s="19">
        <f>O36</f>
        <v/>
      </c>
      <c r="E36" s="19">
        <f>P36</f>
        <v/>
      </c>
      <c r="F36" s="19">
        <f>Q36</f>
        <v/>
      </c>
      <c r="G36" s="19">
        <f>C36+D36+E36+F36</f>
        <v/>
      </c>
      <c r="H36" s="6" t="n">
        <v>0</v>
      </c>
      <c r="I36" s="31" t="n">
        <v>0</v>
      </c>
      <c r="J36" s="6" t="n">
        <v>3013</v>
      </c>
      <c r="K36" s="12" t="n">
        <v>25.912</v>
      </c>
      <c r="L36" s="6" t="n">
        <v>89.3</v>
      </c>
      <c r="N36" s="18" t="n">
        <v>0.504248</v>
      </c>
      <c r="O36" s="18" t="n">
        <v>0.633239</v>
      </c>
      <c r="P36" s="18" t="n">
        <v>0.658855</v>
      </c>
      <c r="Q36" s="18" t="n">
        <v>1.07523</v>
      </c>
    </row>
    <row r="37">
      <c r="A37" s="30" t="n">
        <v>4301503</v>
      </c>
      <c r="B37" s="5" t="inlineStr">
        <is>
          <t>Augusto Pestana</t>
        </is>
      </c>
      <c r="C37" s="19">
        <f>N37</f>
        <v/>
      </c>
      <c r="D37" s="19">
        <f>O37</f>
        <v/>
      </c>
      <c r="E37" s="19">
        <f>P37</f>
        <v/>
      </c>
      <c r="F37" s="19">
        <f>Q37</f>
        <v/>
      </c>
      <c r="G37" s="19">
        <f>C37+D37+E37+F37</f>
        <v/>
      </c>
      <c r="H37" s="6" t="n">
        <v>0</v>
      </c>
      <c r="I37" s="31" t="n">
        <v>0</v>
      </c>
      <c r="J37" s="6" t="n">
        <v>0</v>
      </c>
      <c r="K37" s="12" t="n">
        <v>0</v>
      </c>
      <c r="L37" s="6" t="n">
        <v>198.6</v>
      </c>
      <c r="N37" s="18" t="n">
        <v>0</v>
      </c>
      <c r="O37" s="18" t="n">
        <v>0.153309</v>
      </c>
      <c r="P37" s="18" t="n">
        <v>0.171599</v>
      </c>
      <c r="Q37" s="18" t="n">
        <v>0.07591000000000001</v>
      </c>
    </row>
    <row r="38">
      <c r="A38" s="30" t="n">
        <v>4301552</v>
      </c>
      <c r="B38" s="5" t="inlineStr">
        <is>
          <t>Áurea</t>
        </is>
      </c>
      <c r="C38" s="19">
        <f>N38</f>
        <v/>
      </c>
      <c r="D38" s="19">
        <f>O38</f>
        <v/>
      </c>
      <c r="E38" s="19">
        <f>P38</f>
        <v/>
      </c>
      <c r="F38" s="19">
        <f>Q38</f>
        <v/>
      </c>
      <c r="G38" s="19">
        <f>C38+D38+E38+F38</f>
        <v/>
      </c>
      <c r="H38" s="6" t="n">
        <v>0</v>
      </c>
      <c r="I38" s="31" t="n">
        <v>0</v>
      </c>
      <c r="J38" s="6" t="n">
        <v>42</v>
      </c>
      <c r="K38" s="12" t="n">
        <v>0.361</v>
      </c>
      <c r="L38" s="6" t="n">
        <v>217.2</v>
      </c>
      <c r="N38" s="18" t="n">
        <v>0.007029</v>
      </c>
      <c r="O38" s="18" t="n">
        <v>0.07653799999999999</v>
      </c>
      <c r="P38" s="18" t="n">
        <v>0.07445499999999999</v>
      </c>
      <c r="Q38" s="18" t="n">
        <v>0.098437</v>
      </c>
    </row>
    <row r="39">
      <c r="A39" s="30" t="n">
        <v>4301602</v>
      </c>
      <c r="B39" s="5" t="inlineStr">
        <is>
          <t>Bagé</t>
        </is>
      </c>
      <c r="C39" s="19">
        <f>N39</f>
        <v/>
      </c>
      <c r="D39" s="19">
        <f>O39</f>
        <v/>
      </c>
      <c r="E39" s="19">
        <f>P39</f>
        <v/>
      </c>
      <c r="F39" s="19">
        <f>Q39</f>
        <v/>
      </c>
      <c r="G39" s="19">
        <f>C39+D39+E39+F39</f>
        <v/>
      </c>
      <c r="H39" s="6" t="n">
        <v>0</v>
      </c>
      <c r="I39" s="31" t="n">
        <v>0</v>
      </c>
      <c r="J39" s="6" t="n">
        <v>0</v>
      </c>
      <c r="K39" s="12" t="n">
        <v>0</v>
      </c>
      <c r="L39" s="6" t="n">
        <v>234.5</v>
      </c>
      <c r="N39" s="18" t="n">
        <v>0</v>
      </c>
      <c r="O39" s="18" t="n">
        <v>0.378461</v>
      </c>
      <c r="P39" s="18" t="n">
        <v>0.484891</v>
      </c>
      <c r="Q39" s="18" t="n">
        <v>0.077571</v>
      </c>
    </row>
    <row r="40">
      <c r="A40" s="30" t="n">
        <v>4301636</v>
      </c>
      <c r="B40" s="5" t="inlineStr">
        <is>
          <t>Balneário Pinhal</t>
        </is>
      </c>
      <c r="C40" s="19">
        <f>N40</f>
        <v/>
      </c>
      <c r="D40" s="19">
        <f>O40</f>
        <v/>
      </c>
      <c r="E40" s="19">
        <f>P40</f>
        <v/>
      </c>
      <c r="F40" s="19">
        <f>Q40</f>
        <v/>
      </c>
      <c r="G40" s="19">
        <f>C40+D40+E40+F40</f>
        <v/>
      </c>
      <c r="H40" s="6" t="n">
        <v>0</v>
      </c>
      <c r="I40" s="31" t="n">
        <v>0</v>
      </c>
      <c r="J40" s="6" t="n">
        <v>0</v>
      </c>
      <c r="K40" s="12" t="n">
        <v>0</v>
      </c>
      <c r="L40" s="6" t="n">
        <v>213.3</v>
      </c>
      <c r="N40" s="18" t="n">
        <v>0</v>
      </c>
      <c r="O40" s="18" t="n">
        <v>0.131899</v>
      </c>
      <c r="P40" s="18" t="n">
        <v>0.197924</v>
      </c>
      <c r="Q40" s="18" t="n">
        <v>0.710826</v>
      </c>
    </row>
    <row r="41">
      <c r="A41" s="30" t="n">
        <v>4301651</v>
      </c>
      <c r="B41" s="5" t="inlineStr">
        <is>
          <t>Barão</t>
        </is>
      </c>
      <c r="C41" s="19">
        <f>N41</f>
        <v/>
      </c>
      <c r="D41" s="19">
        <f>O41</f>
        <v/>
      </c>
      <c r="E41" s="19">
        <f>P41</f>
        <v/>
      </c>
      <c r="F41" s="19">
        <f>Q41</f>
        <v/>
      </c>
      <c r="G41" s="19">
        <f>C41+D41+E41+F41</f>
        <v/>
      </c>
      <c r="H41" s="6" t="n">
        <v>0</v>
      </c>
      <c r="I41" s="31" t="n">
        <v>0</v>
      </c>
      <c r="J41" s="6" t="n">
        <v>0</v>
      </c>
      <c r="K41" s="12" t="n">
        <v>0</v>
      </c>
      <c r="L41" s="6" t="n">
        <v>93.5</v>
      </c>
      <c r="N41" s="18" t="n">
        <v>0</v>
      </c>
      <c r="O41" s="18" t="n">
        <v>0.840342</v>
      </c>
      <c r="P41" s="18" t="n">
        <v>0.420254</v>
      </c>
      <c r="Q41" s="18" t="n">
        <v>1.365653</v>
      </c>
    </row>
    <row r="42">
      <c r="A42" s="30" t="n">
        <v>4301701</v>
      </c>
      <c r="B42" s="5" t="inlineStr">
        <is>
          <t>Barão de Cotegipe</t>
        </is>
      </c>
      <c r="C42" s="19">
        <f>N42</f>
        <v/>
      </c>
      <c r="D42" s="19">
        <f>O42</f>
        <v/>
      </c>
      <c r="E42" s="19">
        <f>P42</f>
        <v/>
      </c>
      <c r="F42" s="19">
        <f>Q42</f>
        <v/>
      </c>
      <c r="G42" s="19">
        <f>C42+D42+E42+F42</f>
        <v/>
      </c>
      <c r="H42" s="6" t="n">
        <v>0</v>
      </c>
      <c r="I42" s="31" t="n">
        <v>0</v>
      </c>
      <c r="J42" s="6" t="n">
        <v>0</v>
      </c>
      <c r="K42" s="12" t="n">
        <v>0</v>
      </c>
      <c r="L42" s="6" t="n">
        <v>230.4</v>
      </c>
      <c r="N42" s="18" t="n">
        <v>0</v>
      </c>
      <c r="O42" s="18" t="n">
        <v>0.718198</v>
      </c>
      <c r="P42" s="18" t="n">
        <v>0.151809</v>
      </c>
      <c r="Q42" s="18" t="n">
        <v>0.109686</v>
      </c>
    </row>
    <row r="43">
      <c r="A43" s="30" t="n">
        <v>4301750</v>
      </c>
      <c r="B43" s="5" t="inlineStr">
        <is>
          <t>Barão do Triunfo</t>
        </is>
      </c>
      <c r="C43" s="19">
        <f>N43</f>
        <v/>
      </c>
      <c r="D43" s="19">
        <f>O43</f>
        <v/>
      </c>
      <c r="E43" s="19">
        <f>P43</f>
        <v/>
      </c>
      <c r="F43" s="19">
        <f>Q43</f>
        <v/>
      </c>
      <c r="G43" s="19">
        <f>C43+D43+E43+F43</f>
        <v/>
      </c>
      <c r="H43" s="6" t="n">
        <v>0</v>
      </c>
      <c r="I43" s="31" t="n">
        <v>0</v>
      </c>
      <c r="J43" s="6" t="n">
        <v>5149</v>
      </c>
      <c r="K43" s="12" t="n">
        <v>44.281</v>
      </c>
      <c r="L43" s="6" t="n">
        <v>103.8</v>
      </c>
      <c r="N43" s="18" t="n">
        <v>0.861724</v>
      </c>
      <c r="O43" s="18" t="n">
        <v>0.074341</v>
      </c>
      <c r="P43" s="18" t="n">
        <v>0.249458</v>
      </c>
      <c r="Q43" s="18" t="n">
        <v>0.78805</v>
      </c>
    </row>
    <row r="44">
      <c r="A44" s="30" t="n">
        <v>4301800</v>
      </c>
      <c r="B44" s="5" t="inlineStr">
        <is>
          <t>Barracão</t>
        </is>
      </c>
      <c r="C44" s="19">
        <f>N44</f>
        <v/>
      </c>
      <c r="D44" s="19">
        <f>O44</f>
        <v/>
      </c>
      <c r="E44" s="19">
        <f>P44</f>
        <v/>
      </c>
      <c r="F44" s="19">
        <f>Q44</f>
        <v/>
      </c>
      <c r="G44" s="19">
        <f>C44+D44+E44+F44</f>
        <v/>
      </c>
      <c r="H44" s="6" t="n">
        <v>0</v>
      </c>
      <c r="I44" s="31" t="n">
        <v>0</v>
      </c>
      <c r="J44" s="6" t="n">
        <v>0</v>
      </c>
      <c r="K44" s="12" t="n">
        <v>0</v>
      </c>
      <c r="L44" s="6" t="n">
        <v>233.3</v>
      </c>
      <c r="N44" s="18" t="n">
        <v>0</v>
      </c>
      <c r="O44" s="18" t="n">
        <v>0.096695</v>
      </c>
      <c r="P44" s="18" t="n">
        <v>0.083827</v>
      </c>
      <c r="Q44" s="18" t="n">
        <v>0.111811</v>
      </c>
    </row>
    <row r="45">
      <c r="A45" s="30" t="n">
        <v>4301859</v>
      </c>
      <c r="B45" s="5" t="inlineStr">
        <is>
          <t>Barra do Guarita</t>
        </is>
      </c>
      <c r="C45" s="19">
        <f>N45</f>
        <v/>
      </c>
      <c r="D45" s="19">
        <f>O45</f>
        <v/>
      </c>
      <c r="E45" s="19">
        <f>P45</f>
        <v/>
      </c>
      <c r="F45" s="19">
        <f>Q45</f>
        <v/>
      </c>
      <c r="G45" s="19">
        <f>C45+D45+E45+F45</f>
        <v/>
      </c>
      <c r="H45" s="6" t="n">
        <v>0</v>
      </c>
      <c r="I45" s="31" t="n">
        <v>0</v>
      </c>
      <c r="J45" s="6" t="n">
        <v>6</v>
      </c>
      <c r="K45" s="12" t="n">
        <v>0.052</v>
      </c>
      <c r="L45" s="6" t="n">
        <v>301.4</v>
      </c>
      <c r="N45" s="18" t="n">
        <v>0.001004</v>
      </c>
      <c r="O45" s="18" t="n">
        <v>0</v>
      </c>
      <c r="P45" s="18" t="n">
        <v>0</v>
      </c>
      <c r="Q45" s="18" t="n">
        <v>0.020187</v>
      </c>
    </row>
    <row r="46">
      <c r="A46" s="30" t="n">
        <v>4301875</v>
      </c>
      <c r="B46" s="5" t="inlineStr">
        <is>
          <t>Barra do Quaraí</t>
        </is>
      </c>
      <c r="C46" s="19">
        <f>N46</f>
        <v/>
      </c>
      <c r="D46" s="19">
        <f>O46</f>
        <v/>
      </c>
      <c r="E46" s="19">
        <f>P46</f>
        <v/>
      </c>
      <c r="F46" s="19">
        <f>Q46</f>
        <v/>
      </c>
      <c r="G46" s="19">
        <f>C46+D46+E46+F46</f>
        <v/>
      </c>
      <c r="H46" s="6" t="n">
        <v>0</v>
      </c>
      <c r="I46" s="31" t="n">
        <v>0</v>
      </c>
      <c r="J46" s="6" t="n">
        <v>0</v>
      </c>
      <c r="K46" s="12" t="n">
        <v>0</v>
      </c>
      <c r="L46" s="6" t="n">
        <v>478.8</v>
      </c>
      <c r="N46" s="18" t="n">
        <v>0</v>
      </c>
      <c r="O46" s="18" t="n">
        <v>0</v>
      </c>
      <c r="P46" s="18" t="n">
        <v>0</v>
      </c>
      <c r="Q46" s="18" t="n">
        <v>0</v>
      </c>
    </row>
    <row r="47">
      <c r="A47" s="30" t="n">
        <v>4301909</v>
      </c>
      <c r="B47" s="5" t="inlineStr">
        <is>
          <t>Barra do Ribeiro</t>
        </is>
      </c>
      <c r="C47" s="19">
        <f>N47</f>
        <v/>
      </c>
      <c r="D47" s="19">
        <f>O47</f>
        <v/>
      </c>
      <c r="E47" s="19">
        <f>P47</f>
        <v/>
      </c>
      <c r="F47" s="19">
        <f>Q47</f>
        <v/>
      </c>
      <c r="G47" s="19">
        <f>C47+D47+E47+F47</f>
        <v/>
      </c>
      <c r="H47" s="6" t="n">
        <v>0</v>
      </c>
      <c r="I47" s="31" t="n">
        <v>0</v>
      </c>
      <c r="J47" s="6" t="n">
        <v>32</v>
      </c>
      <c r="K47" s="12" t="n">
        <v>0.275</v>
      </c>
      <c r="L47" s="6" t="n">
        <v>129.4</v>
      </c>
      <c r="N47" s="18" t="n">
        <v>0.005355</v>
      </c>
      <c r="O47" s="18" t="n">
        <v>1.18022</v>
      </c>
      <c r="P47" s="18" t="n">
        <v>0.317863</v>
      </c>
      <c r="Q47" s="18" t="n">
        <v>1.274207</v>
      </c>
    </row>
    <row r="48">
      <c r="A48" s="30" t="n">
        <v>4301925</v>
      </c>
      <c r="B48" s="5" t="inlineStr">
        <is>
          <t>Barra do Rio Azul</t>
        </is>
      </c>
      <c r="C48" s="19">
        <f>N48</f>
        <v/>
      </c>
      <c r="D48" s="19">
        <f>O48</f>
        <v/>
      </c>
      <c r="E48" s="19">
        <f>P48</f>
        <v/>
      </c>
      <c r="F48" s="19">
        <f>Q48</f>
        <v/>
      </c>
      <c r="G48" s="19">
        <f>C48+D48+E48+F48</f>
        <v/>
      </c>
      <c r="H48" s="6" t="n">
        <v>0</v>
      </c>
      <c r="I48" s="31" t="n">
        <v>0</v>
      </c>
      <c r="J48" s="6" t="n">
        <v>27</v>
      </c>
      <c r="K48" s="12" t="n">
        <v>0.232</v>
      </c>
      <c r="L48" s="6" t="n">
        <v>248.7</v>
      </c>
      <c r="N48" s="18" t="n">
        <v>0.004519</v>
      </c>
      <c r="O48" s="18" t="n">
        <v>0.000165</v>
      </c>
      <c r="P48" s="18" t="n">
        <v>0.025087</v>
      </c>
      <c r="Q48" s="18" t="n">
        <v>0.042208</v>
      </c>
    </row>
    <row r="49">
      <c r="A49" s="30" t="n">
        <v>4301958</v>
      </c>
      <c r="B49" s="5" t="inlineStr">
        <is>
          <t>Barra Funda</t>
        </is>
      </c>
      <c r="C49" s="19">
        <f>N49</f>
        <v/>
      </c>
      <c r="D49" s="19">
        <f>O49</f>
        <v/>
      </c>
      <c r="E49" s="19">
        <f>P49</f>
        <v/>
      </c>
      <c r="F49" s="19">
        <f>Q49</f>
        <v/>
      </c>
      <c r="G49" s="19">
        <f>C49+D49+E49+F49</f>
        <v/>
      </c>
      <c r="H49" s="6" t="n">
        <v>0</v>
      </c>
      <c r="I49" s="31" t="n">
        <v>0</v>
      </c>
      <c r="J49" s="6" t="n">
        <v>0</v>
      </c>
      <c r="K49" s="12" t="n">
        <v>0</v>
      </c>
      <c r="L49" s="6" t="n">
        <v>200.2</v>
      </c>
      <c r="N49" s="18" t="n">
        <v>0</v>
      </c>
      <c r="O49" s="18" t="n">
        <v>0.133661</v>
      </c>
      <c r="P49" s="18" t="n">
        <v>0.086329</v>
      </c>
      <c r="Q49" s="18" t="n">
        <v>0.072326</v>
      </c>
    </row>
    <row r="50">
      <c r="A50" s="30" t="n">
        <v>4302006</v>
      </c>
      <c r="B50" s="5" t="inlineStr">
        <is>
          <t>Barros Cassal</t>
        </is>
      </c>
      <c r="C50" s="19">
        <f>N50</f>
        <v/>
      </c>
      <c r="D50" s="19">
        <f>O50</f>
        <v/>
      </c>
      <c r="E50" s="19">
        <f>P50</f>
        <v/>
      </c>
      <c r="F50" s="19">
        <f>Q50</f>
        <v/>
      </c>
      <c r="G50" s="19">
        <f>C50+D50+E50+F50</f>
        <v/>
      </c>
      <c r="H50" s="6" t="n">
        <v>0</v>
      </c>
      <c r="I50" s="31" t="n">
        <v>0</v>
      </c>
      <c r="J50" s="6" t="n">
        <v>7992</v>
      </c>
      <c r="K50" s="12" t="n">
        <v>68.73099999999999</v>
      </c>
      <c r="L50" s="6" t="n">
        <v>61.7</v>
      </c>
      <c r="N50" s="18" t="n">
        <v>1.337522</v>
      </c>
      <c r="O50" s="18" t="n">
        <v>0.233354</v>
      </c>
      <c r="P50" s="18" t="n">
        <v>0.594507</v>
      </c>
      <c r="Q50" s="18" t="n">
        <v>1.045789</v>
      </c>
    </row>
    <row r="51">
      <c r="A51" s="30" t="n">
        <v>4302055</v>
      </c>
      <c r="B51" s="5" t="inlineStr">
        <is>
          <t>Benjamin Constant do Sul</t>
        </is>
      </c>
      <c r="C51" s="19">
        <f>N51</f>
        <v/>
      </c>
      <c r="D51" s="19">
        <f>O51</f>
        <v/>
      </c>
      <c r="E51" s="19">
        <f>P51</f>
        <v/>
      </c>
      <c r="F51" s="19">
        <f>Q51</f>
        <v/>
      </c>
      <c r="G51" s="19">
        <f>C51+D51+E51+F51</f>
        <v/>
      </c>
      <c r="H51" s="6" t="n">
        <v>0</v>
      </c>
      <c r="I51" s="31" t="n">
        <v>0</v>
      </c>
      <c r="J51" s="6" t="n">
        <v>4</v>
      </c>
      <c r="K51" s="12" t="n">
        <v>0.034</v>
      </c>
      <c r="L51" s="6" t="n">
        <v>240.7</v>
      </c>
      <c r="N51" s="18" t="n">
        <v>0.000669</v>
      </c>
      <c r="O51" s="18" t="n">
        <v>0.029327</v>
      </c>
      <c r="P51" s="18" t="n">
        <v>0.023795</v>
      </c>
      <c r="Q51" s="18" t="n">
        <v>0.049166</v>
      </c>
    </row>
    <row r="52">
      <c r="A52" s="30" t="n">
        <v>4302105</v>
      </c>
      <c r="B52" s="5" t="inlineStr">
        <is>
          <t>Bento Gonçalves</t>
        </is>
      </c>
      <c r="C52" s="19">
        <f>N52</f>
        <v/>
      </c>
      <c r="D52" s="19">
        <f>O52</f>
        <v/>
      </c>
      <c r="E52" s="19">
        <f>P52</f>
        <v/>
      </c>
      <c r="F52" s="19">
        <f>Q52</f>
        <v/>
      </c>
      <c r="G52" s="19">
        <f>C52+D52+E52+F52</f>
        <v/>
      </c>
      <c r="H52" s="6" t="n">
        <v>0</v>
      </c>
      <c r="I52" s="31" t="n">
        <v>0</v>
      </c>
      <c r="J52" s="6" t="n">
        <v>0</v>
      </c>
      <c r="K52" s="12" t="n">
        <v>0</v>
      </c>
      <c r="L52" s="6" t="n">
        <v>101.1</v>
      </c>
      <c r="N52" s="18" t="n">
        <v>0</v>
      </c>
      <c r="O52" s="18" t="n">
        <v>40.736278</v>
      </c>
      <c r="P52" s="18" t="n">
        <v>2.563077</v>
      </c>
      <c r="Q52" s="18" t="n">
        <v>5.305189</v>
      </c>
    </row>
    <row r="53">
      <c r="A53" s="30" t="n">
        <v>4302154</v>
      </c>
      <c r="B53" s="5" t="inlineStr">
        <is>
          <t>Boa Vista das Missões</t>
        </is>
      </c>
      <c r="C53" s="19">
        <f>N53</f>
        <v/>
      </c>
      <c r="D53" s="19">
        <f>O53</f>
        <v/>
      </c>
      <c r="E53" s="19">
        <f>P53</f>
        <v/>
      </c>
      <c r="F53" s="19">
        <f>Q53</f>
        <v/>
      </c>
      <c r="G53" s="19">
        <f>C53+D53+E53+F53</f>
        <v/>
      </c>
      <c r="H53" s="6" t="n">
        <v>0</v>
      </c>
      <c r="I53" s="31" t="n">
        <v>0</v>
      </c>
      <c r="J53" s="6" t="n">
        <v>0</v>
      </c>
      <c r="K53" s="12" t="n">
        <v>0</v>
      </c>
      <c r="L53" s="6" t="n">
        <v>234.1</v>
      </c>
      <c r="N53" s="18" t="n">
        <v>0</v>
      </c>
      <c r="O53" s="18" t="n">
        <v>0.024177</v>
      </c>
      <c r="P53" s="18" t="n">
        <v>0.054855</v>
      </c>
      <c r="Q53" s="18" t="n">
        <v>0.040193</v>
      </c>
    </row>
    <row r="54">
      <c r="A54" s="30" t="n">
        <v>4302204</v>
      </c>
      <c r="B54" s="5" t="inlineStr">
        <is>
          <t>Boa Vista do Buricá</t>
        </is>
      </c>
      <c r="C54" s="19">
        <f>N54</f>
        <v/>
      </c>
      <c r="D54" s="19">
        <f>O54</f>
        <v/>
      </c>
      <c r="E54" s="19">
        <f>P54</f>
        <v/>
      </c>
      <c r="F54" s="19">
        <f>Q54</f>
        <v/>
      </c>
      <c r="G54" s="19">
        <f>C54+D54+E54+F54</f>
        <v/>
      </c>
      <c r="H54" s="6" t="n">
        <v>0</v>
      </c>
      <c r="I54" s="31" t="n">
        <v>0</v>
      </c>
      <c r="J54" s="6" t="n">
        <v>0</v>
      </c>
      <c r="K54" s="12" t="n">
        <v>0</v>
      </c>
      <c r="L54" s="6" t="n">
        <v>274.1</v>
      </c>
      <c r="N54" s="18" t="n">
        <v>0</v>
      </c>
      <c r="O54" s="18" t="n">
        <v>0</v>
      </c>
      <c r="P54" s="18" t="n">
        <v>0</v>
      </c>
      <c r="Q54" s="18" t="n">
        <v>0.034926</v>
      </c>
    </row>
    <row r="55">
      <c r="A55" s="30" t="n">
        <v>4302220</v>
      </c>
      <c r="B55" s="5" t="inlineStr">
        <is>
          <t>Boa Vista do Cadeado</t>
        </is>
      </c>
      <c r="C55" s="19">
        <f>N55</f>
        <v/>
      </c>
      <c r="D55" s="19">
        <f>O55</f>
        <v/>
      </c>
      <c r="E55" s="19">
        <f>P55</f>
        <v/>
      </c>
      <c r="F55" s="19">
        <f>Q55</f>
        <v/>
      </c>
      <c r="G55" s="19">
        <f>C55+D55+E55+F55</f>
        <v/>
      </c>
      <c r="H55" s="6" t="n">
        <v>0</v>
      </c>
      <c r="I55" s="31" t="n">
        <v>0</v>
      </c>
      <c r="J55" s="6" t="n">
        <v>0</v>
      </c>
      <c r="K55" s="12" t="n">
        <v>0</v>
      </c>
      <c r="L55" s="6" t="n">
        <v>177.2</v>
      </c>
      <c r="N55" s="18" t="n">
        <v>0</v>
      </c>
      <c r="O55" s="18" t="n">
        <v>0.07858900000000001</v>
      </c>
      <c r="P55" s="18" t="n">
        <v>0.06968100000000001</v>
      </c>
      <c r="Q55" s="18" t="n">
        <v>0.08141900000000001</v>
      </c>
    </row>
    <row r="56">
      <c r="A56" s="30" t="n">
        <v>4302238</v>
      </c>
      <c r="B56" s="5" t="inlineStr">
        <is>
          <t>Boa Vista do Incra</t>
        </is>
      </c>
      <c r="C56" s="19">
        <f>N56</f>
        <v/>
      </c>
      <c r="D56" s="19">
        <f>O56</f>
        <v/>
      </c>
      <c r="E56" s="19">
        <f>P56</f>
        <v/>
      </c>
      <c r="F56" s="19">
        <f>Q56</f>
        <v/>
      </c>
      <c r="G56" s="19">
        <f>C56+D56+E56+F56</f>
        <v/>
      </c>
      <c r="H56" s="6" t="n">
        <v>0</v>
      </c>
      <c r="I56" s="31" t="n">
        <v>0</v>
      </c>
      <c r="J56" s="6" t="n">
        <v>0</v>
      </c>
      <c r="K56" s="12" t="n">
        <v>0</v>
      </c>
      <c r="L56" s="6" t="n">
        <v>134.1</v>
      </c>
      <c r="N56" s="18" t="n">
        <v>0</v>
      </c>
      <c r="O56" s="18" t="n">
        <v>0.000601</v>
      </c>
      <c r="P56" s="18" t="n">
        <v>0.110282</v>
      </c>
      <c r="Q56" s="18" t="n">
        <v>0.158109</v>
      </c>
    </row>
    <row r="57">
      <c r="A57" s="30" t="n">
        <v>4302253</v>
      </c>
      <c r="B57" s="5" t="inlineStr">
        <is>
          <t>Boa Vista do Sul</t>
        </is>
      </c>
      <c r="C57" s="19">
        <f>N57</f>
        <v/>
      </c>
      <c r="D57" s="19">
        <f>O57</f>
        <v/>
      </c>
      <c r="E57" s="19">
        <f>P57</f>
        <v/>
      </c>
      <c r="F57" s="19">
        <f>Q57</f>
        <v/>
      </c>
      <c r="G57" s="19">
        <f>C57+D57+E57+F57</f>
        <v/>
      </c>
      <c r="H57" s="6" t="n">
        <v>0</v>
      </c>
      <c r="I57" s="31" t="n">
        <v>0</v>
      </c>
      <c r="J57" s="6" t="n">
        <v>0</v>
      </c>
      <c r="K57" s="12" t="n">
        <v>0</v>
      </c>
      <c r="L57" s="6" t="n">
        <v>78.40000000000001</v>
      </c>
      <c r="N57" s="18" t="n">
        <v>0</v>
      </c>
      <c r="O57" s="18" t="n">
        <v>0.515761</v>
      </c>
      <c r="P57" s="18" t="n">
        <v>0.217916</v>
      </c>
      <c r="Q57" s="18" t="n">
        <v>0.873967</v>
      </c>
    </row>
    <row r="58">
      <c r="A58" s="30" t="n">
        <v>4302303</v>
      </c>
      <c r="B58" s="5" t="inlineStr">
        <is>
          <t>Bom Jesus</t>
        </is>
      </c>
      <c r="C58" s="19">
        <f>N58</f>
        <v/>
      </c>
      <c r="D58" s="19">
        <f>O58</f>
        <v/>
      </c>
      <c r="E58" s="19">
        <f>P58</f>
        <v/>
      </c>
      <c r="F58" s="19">
        <f>Q58</f>
        <v/>
      </c>
      <c r="G58" s="19">
        <f>C58+D58+E58+F58</f>
        <v/>
      </c>
      <c r="H58" s="6" t="n">
        <v>0</v>
      </c>
      <c r="I58" s="31" t="n">
        <v>0</v>
      </c>
      <c r="J58" s="6" t="n">
        <v>0</v>
      </c>
      <c r="K58" s="12" t="n">
        <v>0</v>
      </c>
      <c r="L58" s="6" t="n">
        <v>225.2</v>
      </c>
      <c r="N58" s="18" t="n">
        <v>0</v>
      </c>
      <c r="O58" s="18" t="n">
        <v>0.145769</v>
      </c>
      <c r="P58" s="18" t="n">
        <v>0.129628</v>
      </c>
      <c r="Q58" s="18" t="n">
        <v>0.400983</v>
      </c>
    </row>
    <row r="59">
      <c r="A59" s="30" t="n">
        <v>4302352</v>
      </c>
      <c r="B59" s="5" t="inlineStr">
        <is>
          <t>Bom Princípio</t>
        </is>
      </c>
      <c r="C59" s="19">
        <f>N59</f>
        <v/>
      </c>
      <c r="D59" s="19">
        <f>O59</f>
        <v/>
      </c>
      <c r="E59" s="19">
        <f>P59</f>
        <v/>
      </c>
      <c r="F59" s="19">
        <f>Q59</f>
        <v/>
      </c>
      <c r="G59" s="19">
        <f>C59+D59+E59+F59</f>
        <v/>
      </c>
      <c r="H59" s="6" t="n">
        <v>0</v>
      </c>
      <c r="I59" s="31" t="n">
        <v>0</v>
      </c>
      <c r="J59" s="6" t="n">
        <v>0</v>
      </c>
      <c r="K59" s="12" t="n">
        <v>0</v>
      </c>
      <c r="L59" s="6" t="n">
        <v>102.9</v>
      </c>
      <c r="N59" s="18" t="n">
        <v>0</v>
      </c>
      <c r="O59" s="18" t="n">
        <v>3.216512</v>
      </c>
      <c r="P59" s="18" t="n">
        <v>0.714946</v>
      </c>
      <c r="Q59" s="18" t="n">
        <v>1.954724</v>
      </c>
    </row>
    <row r="60">
      <c r="A60" s="30" t="n">
        <v>4302378</v>
      </c>
      <c r="B60" s="5" t="inlineStr">
        <is>
          <t>Bom Progresso</t>
        </is>
      </c>
      <c r="C60" s="19">
        <f>N60</f>
        <v/>
      </c>
      <c r="D60" s="19">
        <f>O60</f>
        <v/>
      </c>
      <c r="E60" s="19">
        <f>P60</f>
        <v/>
      </c>
      <c r="F60" s="19">
        <f>Q60</f>
        <v/>
      </c>
      <c r="G60" s="19">
        <f>C60+D60+E60+F60</f>
        <v/>
      </c>
      <c r="H60" s="6" t="n">
        <v>0</v>
      </c>
      <c r="I60" s="31" t="n">
        <v>0</v>
      </c>
      <c r="J60" s="6" t="n">
        <v>0</v>
      </c>
      <c r="K60" s="12" t="n">
        <v>0</v>
      </c>
      <c r="L60" s="6" t="n">
        <v>272.2</v>
      </c>
      <c r="N60" s="18" t="n">
        <v>0</v>
      </c>
      <c r="O60" s="18" t="n">
        <v>0</v>
      </c>
      <c r="P60" s="18" t="n">
        <v>0</v>
      </c>
      <c r="Q60" s="18" t="n">
        <v>0.022403</v>
      </c>
    </row>
    <row r="61">
      <c r="A61" s="30" t="n">
        <v>4302402</v>
      </c>
      <c r="B61" s="5" t="inlineStr">
        <is>
          <t>Bom Retiro do Sul</t>
        </is>
      </c>
      <c r="C61" s="19">
        <f>N61</f>
        <v/>
      </c>
      <c r="D61" s="19">
        <f>O61</f>
        <v/>
      </c>
      <c r="E61" s="19">
        <f>P61</f>
        <v/>
      </c>
      <c r="F61" s="19">
        <f>Q61</f>
        <v/>
      </c>
      <c r="G61" s="19">
        <f>C61+D61+E61+F61</f>
        <v/>
      </c>
      <c r="H61" s="6" t="n">
        <v>0</v>
      </c>
      <c r="I61" s="31" t="n">
        <v>0</v>
      </c>
      <c r="J61" s="6" t="n">
        <v>88</v>
      </c>
      <c r="K61" s="12" t="n">
        <v>0.757</v>
      </c>
      <c r="L61" s="6" t="n">
        <v>46.9</v>
      </c>
      <c r="N61" s="18" t="n">
        <v>0.014727</v>
      </c>
      <c r="O61" s="18" t="n">
        <v>2.713153</v>
      </c>
      <c r="P61" s="18" t="n">
        <v>1.058149</v>
      </c>
      <c r="Q61" s="18" t="n">
        <v>2.098581</v>
      </c>
    </row>
    <row r="62">
      <c r="A62" s="30" t="n">
        <v>4302451</v>
      </c>
      <c r="B62" s="5" t="inlineStr">
        <is>
          <t>Boqueirão do Leão</t>
        </is>
      </c>
      <c r="C62" s="19">
        <f>N62</f>
        <v/>
      </c>
      <c r="D62" s="19">
        <f>O62</f>
        <v/>
      </c>
      <c r="E62" s="19">
        <f>P62</f>
        <v/>
      </c>
      <c r="F62" s="19">
        <f>Q62</f>
        <v/>
      </c>
      <c r="G62" s="19">
        <f>C62+D62+E62+F62</f>
        <v/>
      </c>
      <c r="H62" s="6" t="n">
        <v>0</v>
      </c>
      <c r="I62" s="31" t="n">
        <v>1</v>
      </c>
      <c r="J62" s="6" t="n">
        <v>7906</v>
      </c>
      <c r="K62" s="12" t="n">
        <v>67.992</v>
      </c>
      <c r="L62" s="6" t="n">
        <v>37.8</v>
      </c>
      <c r="N62" s="18" t="n">
        <v>1.323129</v>
      </c>
      <c r="O62" s="18" t="n">
        <v>0.347467</v>
      </c>
      <c r="P62" s="18" t="n">
        <v>0.592795</v>
      </c>
      <c r="Q62" s="18" t="n">
        <v>1.100893</v>
      </c>
    </row>
    <row r="63">
      <c r="A63" s="30" t="n">
        <v>4302501</v>
      </c>
      <c r="B63" s="5" t="inlineStr">
        <is>
          <t>Bossoroca</t>
        </is>
      </c>
      <c r="C63" s="19">
        <f>N63</f>
        <v/>
      </c>
      <c r="D63" s="19">
        <f>O63</f>
        <v/>
      </c>
      <c r="E63" s="19">
        <f>P63</f>
        <v/>
      </c>
      <c r="F63" s="19">
        <f>Q63</f>
        <v/>
      </c>
      <c r="G63" s="19">
        <f>C63+D63+E63+F63</f>
        <v/>
      </c>
      <c r="H63" s="6" t="n">
        <v>0</v>
      </c>
      <c r="I63" s="31" t="n">
        <v>0</v>
      </c>
      <c r="J63" s="6" t="n">
        <v>0</v>
      </c>
      <c r="K63" s="12" t="n">
        <v>0</v>
      </c>
      <c r="L63" s="6" t="n">
        <v>272.2</v>
      </c>
      <c r="N63" s="18" t="n">
        <v>0</v>
      </c>
      <c r="O63" s="18" t="n">
        <v>0</v>
      </c>
      <c r="P63" s="18" t="n">
        <v>0</v>
      </c>
      <c r="Q63" s="18" t="n">
        <v>0.018192</v>
      </c>
    </row>
    <row r="64">
      <c r="A64" s="30" t="n">
        <v>4302584</v>
      </c>
      <c r="B64" s="5" t="inlineStr">
        <is>
          <t>Bozano</t>
        </is>
      </c>
      <c r="C64" s="19">
        <f>N64</f>
        <v/>
      </c>
      <c r="D64" s="19">
        <f>O64</f>
        <v/>
      </c>
      <c r="E64" s="19">
        <f>P64</f>
        <v/>
      </c>
      <c r="F64" s="19">
        <f>Q64</f>
        <v/>
      </c>
      <c r="G64" s="19">
        <f>C64+D64+E64+F64</f>
        <v/>
      </c>
      <c r="H64" s="6" t="n">
        <v>0</v>
      </c>
      <c r="I64" s="31" t="n">
        <v>0</v>
      </c>
      <c r="J64" s="6" t="n">
        <v>0</v>
      </c>
      <c r="K64" s="12" t="n">
        <v>0</v>
      </c>
      <c r="L64" s="6" t="n">
        <v>194.1</v>
      </c>
      <c r="N64" s="18" t="n">
        <v>0</v>
      </c>
      <c r="O64" s="18" t="n">
        <v>0.035146</v>
      </c>
      <c r="P64" s="18" t="n">
        <v>0.053938</v>
      </c>
      <c r="Q64" s="18" t="n">
        <v>0.054459</v>
      </c>
    </row>
    <row r="65">
      <c r="A65" s="30" t="n">
        <v>4302600</v>
      </c>
      <c r="B65" s="5" t="inlineStr">
        <is>
          <t>Braga</t>
        </is>
      </c>
      <c r="C65" s="19">
        <f>N65</f>
        <v/>
      </c>
      <c r="D65" s="19">
        <f>O65</f>
        <v/>
      </c>
      <c r="E65" s="19">
        <f>P65</f>
        <v/>
      </c>
      <c r="F65" s="19">
        <f>Q65</f>
        <v/>
      </c>
      <c r="G65" s="19">
        <f>C65+D65+E65+F65</f>
        <v/>
      </c>
      <c r="H65" s="6" t="n">
        <v>0</v>
      </c>
      <c r="I65" s="31" t="n">
        <v>0</v>
      </c>
      <c r="J65" s="6" t="n">
        <v>11</v>
      </c>
      <c r="K65" s="12" t="n">
        <v>0.095</v>
      </c>
      <c r="L65" s="6" t="n">
        <v>263.5</v>
      </c>
      <c r="N65" s="18" t="n">
        <v>0.001841</v>
      </c>
      <c r="O65" s="18" t="n">
        <v>0</v>
      </c>
      <c r="P65" s="18" t="n">
        <v>0</v>
      </c>
      <c r="Q65" s="18" t="n">
        <v>0.032694</v>
      </c>
    </row>
    <row r="66">
      <c r="A66" s="30" t="n">
        <v>4302659</v>
      </c>
      <c r="B66" s="5" t="inlineStr">
        <is>
          <t>Brochier</t>
        </is>
      </c>
      <c r="C66" s="19">
        <f>N66</f>
        <v/>
      </c>
      <c r="D66" s="19">
        <f>O66</f>
        <v/>
      </c>
      <c r="E66" s="19">
        <f>P66</f>
        <v/>
      </c>
      <c r="F66" s="19">
        <f>Q66</f>
        <v/>
      </c>
      <c r="G66" s="19">
        <f>C66+D66+E66+F66</f>
        <v/>
      </c>
      <c r="H66" s="6" t="n">
        <v>0</v>
      </c>
      <c r="I66" s="31" t="n">
        <v>0</v>
      </c>
      <c r="J66" s="6" t="n">
        <v>0</v>
      </c>
      <c r="K66" s="12" t="n">
        <v>0</v>
      </c>
      <c r="L66" s="6" t="n">
        <v>76.90000000000001</v>
      </c>
      <c r="N66" s="18" t="n">
        <v>0</v>
      </c>
      <c r="O66" s="18" t="n">
        <v>1.039557</v>
      </c>
      <c r="P66" s="18" t="n">
        <v>0.470332</v>
      </c>
      <c r="Q66" s="18" t="n">
        <v>1.222632</v>
      </c>
    </row>
    <row r="67">
      <c r="A67" s="30" t="n">
        <v>4302709</v>
      </c>
      <c r="B67" s="5" t="inlineStr">
        <is>
          <t>Butiá</t>
        </is>
      </c>
      <c r="C67" s="19">
        <f>N67</f>
        <v/>
      </c>
      <c r="D67" s="19">
        <f>O67</f>
        <v/>
      </c>
      <c r="E67" s="19">
        <f>P67</f>
        <v/>
      </c>
      <c r="F67" s="19">
        <f>Q67</f>
        <v/>
      </c>
      <c r="G67" s="19">
        <f>C67+D67+E67+F67</f>
        <v/>
      </c>
      <c r="H67" s="6" t="n">
        <v>0</v>
      </c>
      <c r="I67" s="31" t="n">
        <v>0</v>
      </c>
      <c r="J67" s="6" t="n">
        <v>3</v>
      </c>
      <c r="K67" s="12" t="n">
        <v>0.026</v>
      </c>
      <c r="L67" s="6" t="n">
        <v>71.2</v>
      </c>
      <c r="N67" s="18" t="n">
        <v>0.000502</v>
      </c>
      <c r="O67" s="18" t="n">
        <v>0.5669650000000001</v>
      </c>
      <c r="P67" s="18" t="n">
        <v>1.070887</v>
      </c>
      <c r="Q67" s="18" t="n">
        <v>1.7762</v>
      </c>
    </row>
    <row r="68">
      <c r="A68" s="30" t="n">
        <v>4302808</v>
      </c>
      <c r="B68" s="5" t="inlineStr">
        <is>
          <t>Caçapava do Sul</t>
        </is>
      </c>
      <c r="C68" s="19">
        <f>N68</f>
        <v/>
      </c>
      <c r="D68" s="19">
        <f>O68</f>
        <v/>
      </c>
      <c r="E68" s="19">
        <f>P68</f>
        <v/>
      </c>
      <c r="F68" s="19">
        <f>Q68</f>
        <v/>
      </c>
      <c r="G68" s="19">
        <f>C68+D68+E68+F68</f>
        <v/>
      </c>
      <c r="H68" s="6" t="n">
        <v>0</v>
      </c>
      <c r="I68" s="31" t="n">
        <v>0</v>
      </c>
      <c r="J68" s="6" t="n">
        <v>18</v>
      </c>
      <c r="K68" s="12" t="n">
        <v>0.155</v>
      </c>
      <c r="L68" s="6" t="n">
        <v>147.2</v>
      </c>
      <c r="N68" s="18" t="n">
        <v>0.003012</v>
      </c>
      <c r="O68" s="18" t="n">
        <v>0.418453</v>
      </c>
      <c r="P68" s="18" t="n">
        <v>0.6916679999999999</v>
      </c>
      <c r="Q68" s="18" t="n">
        <v>0.346111</v>
      </c>
    </row>
    <row r="69">
      <c r="A69" s="30" t="n">
        <v>4302907</v>
      </c>
      <c r="B69" s="5" t="inlineStr">
        <is>
          <t>Cacequi</t>
        </is>
      </c>
      <c r="C69" s="19">
        <f>N69</f>
        <v/>
      </c>
      <c r="D69" s="19">
        <f>O69</f>
        <v/>
      </c>
      <c r="E69" s="19">
        <f>P69</f>
        <v/>
      </c>
      <c r="F69" s="19">
        <f>Q69</f>
        <v/>
      </c>
      <c r="G69" s="19">
        <f>C69+D69+E69+F69</f>
        <v/>
      </c>
      <c r="H69" s="6" t="n">
        <v>0</v>
      </c>
      <c r="I69" s="31" t="n">
        <v>0</v>
      </c>
      <c r="J69" s="6" t="n">
        <v>0</v>
      </c>
      <c r="K69" s="12" t="n">
        <v>0</v>
      </c>
      <c r="L69" s="6" t="n">
        <v>233.4</v>
      </c>
      <c r="N69" s="18" t="n">
        <v>0</v>
      </c>
      <c r="O69" s="18" t="n">
        <v>0.025878</v>
      </c>
      <c r="P69" s="18" t="n">
        <v>0.108961</v>
      </c>
      <c r="Q69" s="18" t="n">
        <v>0.030119</v>
      </c>
    </row>
    <row r="70">
      <c r="A70" s="30" t="n">
        <v>4303004</v>
      </c>
      <c r="B70" s="5" t="inlineStr">
        <is>
          <t>Cachoeira do Sul</t>
        </is>
      </c>
      <c r="C70" s="19">
        <f>N70</f>
        <v/>
      </c>
      <c r="D70" s="19">
        <f>O70</f>
        <v/>
      </c>
      <c r="E70" s="19">
        <f>P70</f>
        <v/>
      </c>
      <c r="F70" s="19">
        <f>Q70</f>
        <v/>
      </c>
      <c r="G70" s="19">
        <f>C70+D70+E70+F70</f>
        <v/>
      </c>
      <c r="H70" s="6" t="n">
        <v>0</v>
      </c>
      <c r="I70" s="31" t="n">
        <v>0</v>
      </c>
      <c r="J70" s="6" t="n">
        <v>1000</v>
      </c>
      <c r="K70" s="12" t="n">
        <v>8.6</v>
      </c>
      <c r="L70" s="6" t="n">
        <v>83.59999999999999</v>
      </c>
      <c r="N70" s="18" t="n">
        <v>0.167358</v>
      </c>
      <c r="O70" s="18" t="n">
        <v>11.519538</v>
      </c>
      <c r="P70" s="18" t="n">
        <v>2.095467</v>
      </c>
      <c r="Q70" s="18" t="n">
        <v>2.111317</v>
      </c>
    </row>
    <row r="71">
      <c r="A71" s="30" t="n">
        <v>4303103</v>
      </c>
      <c r="B71" s="5" t="inlineStr">
        <is>
          <t>Cachoeirinha</t>
        </is>
      </c>
      <c r="C71" s="19">
        <f>N71</f>
        <v/>
      </c>
      <c r="D71" s="19">
        <f>O71</f>
        <v/>
      </c>
      <c r="E71" s="19">
        <f>P71</f>
        <v/>
      </c>
      <c r="F71" s="19">
        <f>Q71</f>
        <v/>
      </c>
      <c r="G71" s="19">
        <f>C71+D71+E71+F71</f>
        <v/>
      </c>
      <c r="H71" s="6" t="n">
        <v>0</v>
      </c>
      <c r="I71" s="31" t="n">
        <v>0</v>
      </c>
      <c r="J71" s="6" t="n">
        <v>0</v>
      </c>
      <c r="K71" s="12" t="n">
        <v>0</v>
      </c>
      <c r="L71" s="6" t="n">
        <v>130.3</v>
      </c>
      <c r="N71" s="18" t="n">
        <v>0</v>
      </c>
      <c r="O71" s="18" t="n">
        <v>42.754054</v>
      </c>
      <c r="P71" s="18" t="n">
        <v>2.116879</v>
      </c>
      <c r="Q71" s="18" t="n">
        <v>6.204739</v>
      </c>
    </row>
    <row r="72">
      <c r="A72" s="30" t="n">
        <v>4303202</v>
      </c>
      <c r="B72" s="5" t="inlineStr">
        <is>
          <t>Cacique Doble</t>
        </is>
      </c>
      <c r="C72" s="19">
        <f>N72</f>
        <v/>
      </c>
      <c r="D72" s="19">
        <f>O72</f>
        <v/>
      </c>
      <c r="E72" s="19">
        <f>P72</f>
        <v/>
      </c>
      <c r="F72" s="19">
        <f>Q72</f>
        <v/>
      </c>
      <c r="G72" s="19">
        <f>C72+D72+E72+F72</f>
        <v/>
      </c>
      <c r="H72" s="6" t="n">
        <v>0</v>
      </c>
      <c r="I72" s="31" t="n">
        <v>0</v>
      </c>
      <c r="J72" s="6" t="n">
        <v>0</v>
      </c>
      <c r="K72" s="12" t="n">
        <v>0</v>
      </c>
      <c r="L72" s="6" t="n">
        <v>215.3</v>
      </c>
      <c r="N72" s="18" t="n">
        <v>0</v>
      </c>
      <c r="O72" s="18" t="n">
        <v>0.045908</v>
      </c>
      <c r="P72" s="18" t="n">
        <v>0.078933</v>
      </c>
      <c r="Q72" s="18" t="n">
        <v>0.137271</v>
      </c>
    </row>
    <row r="73">
      <c r="A73" s="30" t="n">
        <v>4303301</v>
      </c>
      <c r="B73" s="5" t="inlineStr">
        <is>
          <t>Caibaté</t>
        </is>
      </c>
      <c r="C73" s="19">
        <f>N73</f>
        <v/>
      </c>
      <c r="D73" s="19">
        <f>O73</f>
        <v/>
      </c>
      <c r="E73" s="19">
        <f>P73</f>
        <v/>
      </c>
      <c r="F73" s="19">
        <f>Q73</f>
        <v/>
      </c>
      <c r="G73" s="19">
        <f>C73+D73+E73+F73</f>
        <v/>
      </c>
      <c r="H73" s="6" t="n">
        <v>0</v>
      </c>
      <c r="I73" s="31" t="n">
        <v>0</v>
      </c>
      <c r="J73" s="6" t="n">
        <v>0</v>
      </c>
      <c r="K73" s="12" t="n">
        <v>0</v>
      </c>
      <c r="L73" s="6" t="n">
        <v>262.8</v>
      </c>
      <c r="N73" s="18" t="n">
        <v>0</v>
      </c>
      <c r="O73" s="18" t="n">
        <v>0</v>
      </c>
      <c r="P73" s="18" t="n">
        <v>0</v>
      </c>
      <c r="Q73" s="18" t="n">
        <v>0.024269</v>
      </c>
    </row>
    <row r="74">
      <c r="A74" s="30" t="n">
        <v>4303400</v>
      </c>
      <c r="B74" s="5" t="inlineStr">
        <is>
          <t>Caiçara</t>
        </is>
      </c>
      <c r="C74" s="19">
        <f>N74</f>
        <v/>
      </c>
      <c r="D74" s="19">
        <f>O74</f>
        <v/>
      </c>
      <c r="E74" s="19">
        <f>P74</f>
        <v/>
      </c>
      <c r="F74" s="19">
        <f>Q74</f>
        <v/>
      </c>
      <c r="G74" s="19">
        <f>C74+D74+E74+F74</f>
        <v/>
      </c>
      <c r="H74" s="6" t="n">
        <v>0</v>
      </c>
      <c r="I74" s="31" t="n">
        <v>0</v>
      </c>
      <c r="J74" s="6" t="n">
        <v>3375</v>
      </c>
      <c r="K74" s="12" t="n">
        <v>29.025</v>
      </c>
      <c r="L74" s="6" t="n">
        <v>285.5</v>
      </c>
      <c r="N74" s="18" t="n">
        <v>0.564832</v>
      </c>
      <c r="O74" s="18" t="n">
        <v>0</v>
      </c>
      <c r="P74" s="18" t="n">
        <v>0</v>
      </c>
      <c r="Q74" s="18" t="n">
        <v>0.033908</v>
      </c>
    </row>
    <row r="75">
      <c r="A75" s="30" t="n">
        <v>4303509</v>
      </c>
      <c r="B75" s="5" t="inlineStr">
        <is>
          <t>Camaquã</t>
        </is>
      </c>
      <c r="C75" s="19">
        <f>N75</f>
        <v/>
      </c>
      <c r="D75" s="19">
        <f>O75</f>
        <v/>
      </c>
      <c r="E75" s="19">
        <f>P75</f>
        <v/>
      </c>
      <c r="F75" s="19">
        <f>Q75</f>
        <v/>
      </c>
      <c r="G75" s="19">
        <f>C75+D75+E75+F75</f>
        <v/>
      </c>
      <c r="H75" s="6" t="n">
        <v>0</v>
      </c>
      <c r="I75" s="31" t="n">
        <v>0</v>
      </c>
      <c r="J75" s="6" t="n">
        <v>13020</v>
      </c>
      <c r="K75" s="12" t="n">
        <v>111.972</v>
      </c>
      <c r="L75" s="6" t="n">
        <v>153.6</v>
      </c>
      <c r="N75" s="18" t="n">
        <v>2.178996</v>
      </c>
      <c r="O75" s="18" t="n">
        <v>1.259033</v>
      </c>
      <c r="P75" s="18" t="n">
        <v>0.888235</v>
      </c>
      <c r="Q75" s="18" t="n">
        <v>1.297256</v>
      </c>
    </row>
    <row r="76">
      <c r="A76" s="30" t="n">
        <v>4303558</v>
      </c>
      <c r="B76" s="5" t="inlineStr">
        <is>
          <t>Camargo</t>
        </is>
      </c>
      <c r="C76" s="19">
        <f>N76</f>
        <v/>
      </c>
      <c r="D76" s="19">
        <f>O76</f>
        <v/>
      </c>
      <c r="E76" s="19">
        <f>P76</f>
        <v/>
      </c>
      <c r="F76" s="19">
        <f>Q76</f>
        <v/>
      </c>
      <c r="G76" s="19">
        <f>C76+D76+E76+F76</f>
        <v/>
      </c>
      <c r="H76" s="6" t="n">
        <v>0</v>
      </c>
      <c r="I76" s="31" t="n">
        <v>0</v>
      </c>
      <c r="J76" s="6" t="n">
        <v>0</v>
      </c>
      <c r="K76" s="12" t="n">
        <v>0</v>
      </c>
      <c r="L76" s="6" t="n">
        <v>115.6</v>
      </c>
      <c r="N76" s="18" t="n">
        <v>0</v>
      </c>
      <c r="O76" s="18" t="n">
        <v>0.27244</v>
      </c>
      <c r="P76" s="18" t="n">
        <v>0.252019</v>
      </c>
      <c r="Q76" s="18" t="n">
        <v>0.427956</v>
      </c>
    </row>
    <row r="77">
      <c r="A77" s="30" t="n">
        <v>4303608</v>
      </c>
      <c r="B77" s="5" t="inlineStr">
        <is>
          <t>Cambará do Sul</t>
        </is>
      </c>
      <c r="C77" s="19">
        <f>N77</f>
        <v/>
      </c>
      <c r="D77" s="19">
        <f>O77</f>
        <v/>
      </c>
      <c r="E77" s="19">
        <f>P77</f>
        <v/>
      </c>
      <c r="F77" s="19">
        <f>Q77</f>
        <v/>
      </c>
      <c r="G77" s="19">
        <f>C77+D77+E77+F77</f>
        <v/>
      </c>
      <c r="H77" s="6" t="n">
        <v>0</v>
      </c>
      <c r="I77" s="31" t="n">
        <v>0</v>
      </c>
      <c r="J77" s="6" t="n">
        <v>0</v>
      </c>
      <c r="K77" s="12" t="n">
        <v>0</v>
      </c>
      <c r="L77" s="6" t="n">
        <v>229.9</v>
      </c>
      <c r="N77" s="18" t="n">
        <v>0</v>
      </c>
      <c r="O77" s="18" t="n">
        <v>2.053298</v>
      </c>
      <c r="P77" s="18" t="n">
        <v>0.10838</v>
      </c>
      <c r="Q77" s="18" t="n">
        <v>0.363198</v>
      </c>
    </row>
    <row r="78">
      <c r="A78" s="30" t="n">
        <v>4303673</v>
      </c>
      <c r="B78" s="5" t="inlineStr">
        <is>
          <t>Campestre da Serra</t>
        </is>
      </c>
      <c r="C78" s="19">
        <f>N78</f>
        <v/>
      </c>
      <c r="D78" s="19">
        <f>O78</f>
        <v/>
      </c>
      <c r="E78" s="19">
        <f>P78</f>
        <v/>
      </c>
      <c r="F78" s="19">
        <f>Q78</f>
        <v/>
      </c>
      <c r="G78" s="19">
        <f>C78+D78+E78+F78</f>
        <v/>
      </c>
      <c r="H78" s="6" t="n">
        <v>0</v>
      </c>
      <c r="I78" s="31" t="n">
        <v>0</v>
      </c>
      <c r="J78" s="6" t="n">
        <v>0</v>
      </c>
      <c r="K78" s="12" t="n">
        <v>0</v>
      </c>
      <c r="L78" s="6" t="n">
        <v>163</v>
      </c>
      <c r="N78" s="18" t="n">
        <v>0</v>
      </c>
      <c r="O78" s="18" t="n">
        <v>0.08583200000000001</v>
      </c>
      <c r="P78" s="18" t="n">
        <v>0.112525</v>
      </c>
      <c r="Q78" s="18" t="n">
        <v>0.504371</v>
      </c>
    </row>
    <row r="79">
      <c r="A79" s="30" t="n">
        <v>4303707</v>
      </c>
      <c r="B79" s="5" t="inlineStr">
        <is>
          <t>Campina das Missões</t>
        </is>
      </c>
      <c r="C79" s="19">
        <f>N79</f>
        <v/>
      </c>
      <c r="D79" s="19">
        <f>O79</f>
        <v/>
      </c>
      <c r="E79" s="19">
        <f>P79</f>
        <v/>
      </c>
      <c r="F79" s="19">
        <f>Q79</f>
        <v/>
      </c>
      <c r="G79" s="19">
        <f>C79+D79+E79+F79</f>
        <v/>
      </c>
      <c r="H79" s="6" t="n">
        <v>0</v>
      </c>
      <c r="I79" s="31" t="n">
        <v>0</v>
      </c>
      <c r="J79" s="6" t="n">
        <v>0</v>
      </c>
      <c r="K79" s="12" t="n">
        <v>0</v>
      </c>
      <c r="L79" s="6" t="n">
        <v>301.5</v>
      </c>
      <c r="N79" s="18" t="n">
        <v>0</v>
      </c>
      <c r="O79" s="18" t="n">
        <v>0</v>
      </c>
      <c r="P79" s="18" t="n">
        <v>0</v>
      </c>
      <c r="Q79" s="18" t="n">
        <v>0.014625</v>
      </c>
    </row>
    <row r="80">
      <c r="A80" s="30" t="n">
        <v>4303806</v>
      </c>
      <c r="B80" s="5" t="inlineStr">
        <is>
          <t>Campinas do Sul</t>
        </is>
      </c>
      <c r="C80" s="19">
        <f>N80</f>
        <v/>
      </c>
      <c r="D80" s="19">
        <f>O80</f>
        <v/>
      </c>
      <c r="E80" s="19">
        <f>P80</f>
        <v/>
      </c>
      <c r="F80" s="19">
        <f>Q80</f>
        <v/>
      </c>
      <c r="G80" s="19">
        <f>C80+D80+E80+F80</f>
        <v/>
      </c>
      <c r="H80" s="6" t="n">
        <v>0</v>
      </c>
      <c r="I80" s="31" t="n">
        <v>0</v>
      </c>
      <c r="J80" s="6" t="n">
        <v>0</v>
      </c>
      <c r="K80" s="12" t="n">
        <v>0</v>
      </c>
      <c r="L80" s="6" t="n">
        <v>213.2</v>
      </c>
      <c r="N80" s="18" t="n">
        <v>0</v>
      </c>
      <c r="O80" s="18" t="n">
        <v>0.088934</v>
      </c>
      <c r="P80" s="18" t="n">
        <v>0.137987</v>
      </c>
      <c r="Q80" s="18" t="n">
        <v>0.105471</v>
      </c>
    </row>
    <row r="81">
      <c r="A81" s="30" t="n">
        <v>4303905</v>
      </c>
      <c r="B81" s="5" t="inlineStr">
        <is>
          <t>Campo Bom</t>
        </is>
      </c>
      <c r="C81" s="19">
        <f>N81</f>
        <v/>
      </c>
      <c r="D81" s="19">
        <f>O81</f>
        <v/>
      </c>
      <c r="E81" s="19">
        <f>P81</f>
        <v/>
      </c>
      <c r="F81" s="19">
        <f>Q81</f>
        <v/>
      </c>
      <c r="G81" s="19">
        <f>C81+D81+E81+F81</f>
        <v/>
      </c>
      <c r="H81" s="6" t="n">
        <v>0</v>
      </c>
      <c r="I81" s="31" t="n">
        <v>0</v>
      </c>
      <c r="J81" s="6" t="n">
        <v>0</v>
      </c>
      <c r="K81" s="12" t="n">
        <v>0</v>
      </c>
      <c r="L81" s="6" t="n">
        <v>131.5</v>
      </c>
      <c r="N81" s="18" t="n">
        <v>0</v>
      </c>
      <c r="O81" s="18" t="n">
        <v>31.615908</v>
      </c>
      <c r="P81" s="18" t="n">
        <v>1.674369</v>
      </c>
      <c r="Q81" s="18" t="n">
        <v>4.187702</v>
      </c>
    </row>
    <row r="82">
      <c r="A82" s="30" t="n">
        <v>4304002</v>
      </c>
      <c r="B82" s="5" t="inlineStr">
        <is>
          <t>Campo Novo</t>
        </is>
      </c>
      <c r="C82" s="19">
        <f>N82</f>
        <v/>
      </c>
      <c r="D82" s="19">
        <f>O82</f>
        <v/>
      </c>
      <c r="E82" s="19">
        <f>P82</f>
        <v/>
      </c>
      <c r="F82" s="19">
        <f>Q82</f>
        <v/>
      </c>
      <c r="G82" s="19">
        <f>C82+D82+E82+F82</f>
        <v/>
      </c>
      <c r="H82" s="6" t="n">
        <v>0</v>
      </c>
      <c r="I82" s="31" t="n">
        <v>0</v>
      </c>
      <c r="J82" s="6" t="n">
        <v>0</v>
      </c>
      <c r="K82" s="12" t="n">
        <v>0</v>
      </c>
      <c r="L82" s="6" t="n">
        <v>259.4</v>
      </c>
      <c r="N82" s="18" t="n">
        <v>0</v>
      </c>
      <c r="O82" s="18" t="n">
        <v>0.08569</v>
      </c>
      <c r="P82" s="18" t="n">
        <v>0.093121</v>
      </c>
      <c r="Q82" s="18" t="n">
        <v>0.040309</v>
      </c>
    </row>
    <row r="83">
      <c r="A83" s="30" t="n">
        <v>4304101</v>
      </c>
      <c r="B83" s="5" t="inlineStr">
        <is>
          <t>Campos Borges</t>
        </is>
      </c>
      <c r="C83" s="19">
        <f>N83</f>
        <v/>
      </c>
      <c r="D83" s="19">
        <f>O83</f>
        <v/>
      </c>
      <c r="E83" s="19">
        <f>P83</f>
        <v/>
      </c>
      <c r="F83" s="19">
        <f>Q83</f>
        <v/>
      </c>
      <c r="G83" s="19">
        <f>C83+D83+E83+F83</f>
        <v/>
      </c>
      <c r="H83" s="6" t="n">
        <v>0</v>
      </c>
      <c r="I83" s="31" t="n">
        <v>0</v>
      </c>
      <c r="J83" s="6" t="n">
        <v>41</v>
      </c>
      <c r="K83" s="12" t="n">
        <v>0.353</v>
      </c>
      <c r="L83" s="6" t="n">
        <v>103.6</v>
      </c>
      <c r="N83" s="18" t="n">
        <v>0.006862</v>
      </c>
      <c r="O83" s="18" t="n">
        <v>0.188647</v>
      </c>
      <c r="P83" s="18" t="n">
        <v>0.255238</v>
      </c>
      <c r="Q83" s="18" t="n">
        <v>0.335068</v>
      </c>
    </row>
    <row r="84">
      <c r="A84" s="30" t="n">
        <v>4304200</v>
      </c>
      <c r="B84" s="5" t="inlineStr">
        <is>
          <t>Candelária</t>
        </is>
      </c>
      <c r="C84" s="19">
        <f>N84</f>
        <v/>
      </c>
      <c r="D84" s="19">
        <f>O84</f>
        <v/>
      </c>
      <c r="E84" s="19">
        <f>P84</f>
        <v/>
      </c>
      <c r="F84" s="19">
        <f>Q84</f>
        <v/>
      </c>
      <c r="G84" s="19">
        <f>C84+D84+E84+F84</f>
        <v/>
      </c>
      <c r="H84" s="6" t="n">
        <v>0</v>
      </c>
      <c r="I84" s="31" t="n">
        <v>1</v>
      </c>
      <c r="J84" s="6" t="n">
        <v>13500</v>
      </c>
      <c r="K84" s="12" t="n">
        <v>116.1</v>
      </c>
      <c r="L84" s="6" t="n">
        <v>39.7</v>
      </c>
      <c r="N84" s="18" t="n">
        <v>2.259327</v>
      </c>
      <c r="O84" s="18" t="n">
        <v>1.778042</v>
      </c>
      <c r="P84" s="18" t="n">
        <v>2.0937</v>
      </c>
      <c r="Q84" s="18" t="n">
        <v>2.453514</v>
      </c>
    </row>
    <row r="85">
      <c r="A85" s="30" t="n">
        <v>4304309</v>
      </c>
      <c r="B85" s="5" t="inlineStr">
        <is>
          <t>Cândido Godói</t>
        </is>
      </c>
      <c r="C85" s="19">
        <f>N85</f>
        <v/>
      </c>
      <c r="D85" s="19">
        <f>O85</f>
        <v/>
      </c>
      <c r="E85" s="19">
        <f>P85</f>
        <v/>
      </c>
      <c r="F85" s="19">
        <f>Q85</f>
        <v/>
      </c>
      <c r="G85" s="19">
        <f>C85+D85+E85+F85</f>
        <v/>
      </c>
      <c r="H85" s="6" t="n">
        <v>0</v>
      </c>
      <c r="I85" s="31" t="n">
        <v>0</v>
      </c>
      <c r="J85" s="6" t="n">
        <v>8</v>
      </c>
      <c r="K85" s="12" t="n">
        <v>0.06900000000000001</v>
      </c>
      <c r="L85" s="6" t="n">
        <v>294.9</v>
      </c>
      <c r="N85" s="18" t="n">
        <v>0.001339</v>
      </c>
      <c r="O85" s="18" t="n">
        <v>0</v>
      </c>
      <c r="P85" s="18" t="n">
        <v>0</v>
      </c>
      <c r="Q85" s="18" t="n">
        <v>0.017452</v>
      </c>
    </row>
    <row r="86">
      <c r="A86" s="30" t="n">
        <v>4304358</v>
      </c>
      <c r="B86" s="5" t="inlineStr">
        <is>
          <t>Candiota</t>
        </is>
      </c>
      <c r="C86" s="19">
        <f>N86</f>
        <v/>
      </c>
      <c r="D86" s="19">
        <f>O86</f>
        <v/>
      </c>
      <c r="E86" s="19">
        <f>P86</f>
        <v/>
      </c>
      <c r="F86" s="19">
        <f>Q86</f>
        <v/>
      </c>
      <c r="G86" s="19">
        <f>C86+D86+E86+F86</f>
        <v/>
      </c>
      <c r="H86" s="6" t="n">
        <v>0</v>
      </c>
      <c r="I86" s="31" t="n">
        <v>0</v>
      </c>
      <c r="J86" s="6" t="n">
        <v>0</v>
      </c>
      <c r="K86" s="12" t="n">
        <v>0</v>
      </c>
      <c r="L86" s="6" t="n">
        <v>247.5</v>
      </c>
      <c r="N86" s="18" t="n">
        <v>0</v>
      </c>
      <c r="O86" s="18" t="n">
        <v>0.263223</v>
      </c>
      <c r="P86" s="18" t="n">
        <v>0.103743</v>
      </c>
      <c r="Q86" s="18" t="n">
        <v>0.019853</v>
      </c>
    </row>
    <row r="87">
      <c r="A87" s="30" t="n">
        <v>4304408</v>
      </c>
      <c r="B87" s="5" t="inlineStr">
        <is>
          <t>Canela</t>
        </is>
      </c>
      <c r="C87" s="19">
        <f>N87</f>
        <v/>
      </c>
      <c r="D87" s="19">
        <f>O87</f>
        <v/>
      </c>
      <c r="E87" s="19">
        <f>P87</f>
        <v/>
      </c>
      <c r="F87" s="19">
        <f>Q87</f>
        <v/>
      </c>
      <c r="G87" s="19">
        <f>C87+D87+E87+F87</f>
        <v/>
      </c>
      <c r="H87" s="6" t="n">
        <v>0</v>
      </c>
      <c r="I87" s="31" t="n">
        <v>0</v>
      </c>
      <c r="J87" s="6" t="n">
        <v>0</v>
      </c>
      <c r="K87" s="12" t="n">
        <v>0</v>
      </c>
      <c r="L87" s="6" t="n">
        <v>161.5</v>
      </c>
      <c r="N87" s="18" t="n">
        <v>0</v>
      </c>
      <c r="O87" s="18" t="n">
        <v>2.9461</v>
      </c>
      <c r="P87" s="18" t="n">
        <v>0.826914</v>
      </c>
      <c r="Q87" s="18" t="n">
        <v>2.628771</v>
      </c>
    </row>
    <row r="88">
      <c r="A88" s="30" t="n">
        <v>4304507</v>
      </c>
      <c r="B88" s="5" t="inlineStr">
        <is>
          <t>Canguçu</t>
        </is>
      </c>
      <c r="C88" s="19">
        <f>N88</f>
        <v/>
      </c>
      <c r="D88" s="19">
        <f>O88</f>
        <v/>
      </c>
      <c r="E88" s="19">
        <f>P88</f>
        <v/>
      </c>
      <c r="F88" s="19">
        <f>Q88</f>
        <v/>
      </c>
      <c r="G88" s="19">
        <f>C88+D88+E88+F88</f>
        <v/>
      </c>
      <c r="H88" s="6" t="n">
        <v>0</v>
      </c>
      <c r="I88" s="31" t="n">
        <v>0</v>
      </c>
      <c r="J88" s="6" t="n">
        <v>26156</v>
      </c>
      <c r="K88" s="12" t="n">
        <v>224.942</v>
      </c>
      <c r="L88" s="6" t="n">
        <v>176.1</v>
      </c>
      <c r="N88" s="18" t="n">
        <v>4.377405</v>
      </c>
      <c r="O88" s="18" t="n">
        <v>0.325397</v>
      </c>
      <c r="P88" s="18" t="n">
        <v>0.466821</v>
      </c>
      <c r="Q88" s="18" t="n">
        <v>0.371901</v>
      </c>
    </row>
    <row r="89">
      <c r="A89" s="30" t="n">
        <v>4304606</v>
      </c>
      <c r="B89" s="5" t="inlineStr">
        <is>
          <t>Canoas</t>
        </is>
      </c>
      <c r="C89" s="19">
        <f>N89</f>
        <v/>
      </c>
      <c r="D89" s="19">
        <f>O89</f>
        <v/>
      </c>
      <c r="E89" s="19">
        <f>P89</f>
        <v/>
      </c>
      <c r="F89" s="19">
        <f>Q89</f>
        <v/>
      </c>
      <c r="G89" s="19">
        <f>C89+D89+E89+F89</f>
        <v/>
      </c>
      <c r="H89" s="6" t="n">
        <v>0</v>
      </c>
      <c r="I89" s="31" t="n">
        <v>0</v>
      </c>
      <c r="J89" s="6" t="n">
        <v>0</v>
      </c>
      <c r="K89" s="12" t="n">
        <v>0</v>
      </c>
      <c r="L89" s="6" t="n">
        <v>122.2</v>
      </c>
      <c r="N89" s="18" t="n">
        <v>0</v>
      </c>
      <c r="O89" s="18" t="n">
        <v>56.447298</v>
      </c>
      <c r="P89" s="18" t="n">
        <v>3.495627</v>
      </c>
      <c r="Q89" s="18" t="n">
        <v>10.207154</v>
      </c>
    </row>
    <row r="90">
      <c r="A90" s="30" t="n">
        <v>4304614</v>
      </c>
      <c r="B90" s="5" t="inlineStr">
        <is>
          <t>Canudos do Vale</t>
        </is>
      </c>
      <c r="C90" s="19">
        <f>N90</f>
        <v/>
      </c>
      <c r="D90" s="19">
        <f>O90</f>
        <v/>
      </c>
      <c r="E90" s="19">
        <f>P90</f>
        <v/>
      </c>
      <c r="F90" s="19">
        <f>Q90</f>
        <v/>
      </c>
      <c r="G90" s="19">
        <f>C90+D90+E90+F90</f>
        <v/>
      </c>
      <c r="H90" s="6" t="n">
        <v>0</v>
      </c>
      <c r="I90" s="31" t="n">
        <v>0</v>
      </c>
      <c r="J90" s="6" t="n">
        <v>439</v>
      </c>
      <c r="K90" s="12" t="n">
        <v>3.775</v>
      </c>
      <c r="L90" s="6" t="n">
        <v>39.2</v>
      </c>
      <c r="N90" s="18" t="n">
        <v>0.07346999999999999</v>
      </c>
      <c r="O90" s="18" t="n">
        <v>0.216482</v>
      </c>
      <c r="P90" s="18" t="n">
        <v>0.163702</v>
      </c>
      <c r="Q90" s="18" t="n">
        <v>0.61514</v>
      </c>
    </row>
    <row r="91">
      <c r="A91" s="30" t="n">
        <v>4304622</v>
      </c>
      <c r="B91" s="5" t="inlineStr">
        <is>
          <t>Capão Bonito do Sul</t>
        </is>
      </c>
      <c r="C91" s="19">
        <f>N91</f>
        <v/>
      </c>
      <c r="D91" s="19">
        <f>O91</f>
        <v/>
      </c>
      <c r="E91" s="19">
        <f>P91</f>
        <v/>
      </c>
      <c r="F91" s="19">
        <f>Q91</f>
        <v/>
      </c>
      <c r="G91" s="19">
        <f>C91+D91+E91+F91</f>
        <v/>
      </c>
      <c r="H91" s="6" t="n">
        <v>0</v>
      </c>
      <c r="I91" s="31" t="n">
        <v>0</v>
      </c>
      <c r="J91" s="6" t="n">
        <v>0</v>
      </c>
      <c r="K91" s="12" t="n">
        <v>0</v>
      </c>
      <c r="L91" s="6" t="n">
        <v>193.1</v>
      </c>
      <c r="N91" s="18" t="n">
        <v>0</v>
      </c>
      <c r="O91" s="18" t="n">
        <v>0.042519</v>
      </c>
      <c r="P91" s="18" t="n">
        <v>0.047355</v>
      </c>
      <c r="Q91" s="18" t="n">
        <v>0.157213</v>
      </c>
    </row>
    <row r="92">
      <c r="A92" s="30" t="n">
        <v>4304630</v>
      </c>
      <c r="B92" s="5" t="inlineStr">
        <is>
          <t>Capão da Canoa</t>
        </is>
      </c>
      <c r="C92" s="19">
        <f>N92</f>
        <v/>
      </c>
      <c r="D92" s="19">
        <f>O92</f>
        <v/>
      </c>
      <c r="E92" s="19">
        <f>P92</f>
        <v/>
      </c>
      <c r="F92" s="19">
        <f>Q92</f>
        <v/>
      </c>
      <c r="G92" s="19">
        <f>C92+D92+E92+F92</f>
        <v/>
      </c>
      <c r="H92" s="6" t="n">
        <v>0</v>
      </c>
      <c r="I92" s="31" t="n">
        <v>0</v>
      </c>
      <c r="J92" s="6" t="n">
        <v>0</v>
      </c>
      <c r="K92" s="12" t="n">
        <v>0</v>
      </c>
      <c r="L92" s="6" t="n">
        <v>232.9</v>
      </c>
      <c r="N92" s="18" t="n">
        <v>0</v>
      </c>
      <c r="O92" s="18" t="n">
        <v>0.192515</v>
      </c>
      <c r="P92" s="18" t="n">
        <v>0.475493</v>
      </c>
      <c r="Q92" s="18" t="n">
        <v>1.197283</v>
      </c>
    </row>
    <row r="93">
      <c r="A93" s="30" t="n">
        <v>4304655</v>
      </c>
      <c r="B93" s="5" t="inlineStr">
        <is>
          <t>Capão do Cipó</t>
        </is>
      </c>
      <c r="C93" s="19">
        <f>N93</f>
        <v/>
      </c>
      <c r="D93" s="19">
        <f>O93</f>
        <v/>
      </c>
      <c r="E93" s="19">
        <f>P93</f>
        <v/>
      </c>
      <c r="F93" s="19">
        <f>Q93</f>
        <v/>
      </c>
      <c r="G93" s="19">
        <f>C93+D93+E93+F93</f>
        <v/>
      </c>
      <c r="H93" s="6" t="n">
        <v>0</v>
      </c>
      <c r="I93" s="31" t="n">
        <v>0</v>
      </c>
      <c r="J93" s="6" t="n">
        <v>0</v>
      </c>
      <c r="K93" s="12" t="n">
        <v>0</v>
      </c>
      <c r="L93" s="6" t="n">
        <v>224.5</v>
      </c>
      <c r="N93" s="18" t="n">
        <v>0</v>
      </c>
      <c r="O93" s="18" t="n">
        <v>0.000285</v>
      </c>
      <c r="P93" s="18" t="n">
        <v>0.06147</v>
      </c>
      <c r="Q93" s="18" t="n">
        <v>0.024733</v>
      </c>
    </row>
    <row r="94">
      <c r="A94" s="30" t="n">
        <v>4304663</v>
      </c>
      <c r="B94" s="5" t="inlineStr">
        <is>
          <t>Capão do Leão</t>
        </is>
      </c>
      <c r="C94" s="19">
        <f>N94</f>
        <v/>
      </c>
      <c r="D94" s="19">
        <f>O94</f>
        <v/>
      </c>
      <c r="E94" s="19">
        <f>P94</f>
        <v/>
      </c>
      <c r="F94" s="19">
        <f>Q94</f>
        <v/>
      </c>
      <c r="G94" s="19">
        <f>C94+D94+E94+F94</f>
        <v/>
      </c>
      <c r="H94" s="6" t="n">
        <v>0</v>
      </c>
      <c r="I94" s="31" t="n">
        <v>0</v>
      </c>
      <c r="J94" s="6" t="n">
        <v>0</v>
      </c>
      <c r="K94" s="12" t="n">
        <v>0</v>
      </c>
      <c r="L94" s="6" t="n">
        <v>243</v>
      </c>
      <c r="N94" s="18" t="n">
        <v>0</v>
      </c>
      <c r="O94" s="18" t="n">
        <v>0.142791</v>
      </c>
      <c r="P94" s="18" t="n">
        <v>0.148024</v>
      </c>
      <c r="Q94" s="18" t="n">
        <v>0.060741</v>
      </c>
    </row>
    <row r="95">
      <c r="A95" s="30" t="n">
        <v>4304671</v>
      </c>
      <c r="B95" s="5" t="inlineStr">
        <is>
          <t>Capivari do Sul</t>
        </is>
      </c>
      <c r="C95" s="19">
        <f>N95</f>
        <v/>
      </c>
      <c r="D95" s="19">
        <f>O95</f>
        <v/>
      </c>
      <c r="E95" s="19">
        <f>P95</f>
        <v/>
      </c>
      <c r="F95" s="19">
        <f>Q95</f>
        <v/>
      </c>
      <c r="G95" s="19">
        <f>C95+D95+E95+F95</f>
        <v/>
      </c>
      <c r="H95" s="6" t="n">
        <v>0</v>
      </c>
      <c r="I95" s="31" t="n">
        <v>0</v>
      </c>
      <c r="J95" s="6" t="n">
        <v>0</v>
      </c>
      <c r="K95" s="12" t="n">
        <v>0</v>
      </c>
      <c r="L95" s="6" t="n">
        <v>190.8</v>
      </c>
      <c r="N95" s="18" t="n">
        <v>0</v>
      </c>
      <c r="O95" s="18" t="n">
        <v>0.12377</v>
      </c>
      <c r="P95" s="18" t="n">
        <v>0.191708</v>
      </c>
      <c r="Q95" s="18" t="n">
        <v>0.512748</v>
      </c>
    </row>
    <row r="96">
      <c r="A96" s="30" t="n">
        <v>4304689</v>
      </c>
      <c r="B96" s="5" t="inlineStr">
        <is>
          <t>Capela de Santana</t>
        </is>
      </c>
      <c r="C96" s="19">
        <f>N96</f>
        <v/>
      </c>
      <c r="D96" s="19">
        <f>O96</f>
        <v/>
      </c>
      <c r="E96" s="19">
        <f>P96</f>
        <v/>
      </c>
      <c r="F96" s="19">
        <f>Q96</f>
        <v/>
      </c>
      <c r="G96" s="19">
        <f>C96+D96+E96+F96</f>
        <v/>
      </c>
      <c r="H96" s="6" t="n">
        <v>0</v>
      </c>
      <c r="I96" s="31" t="n">
        <v>0</v>
      </c>
      <c r="J96" s="6" t="n">
        <v>0</v>
      </c>
      <c r="K96" s="12" t="n">
        <v>0</v>
      </c>
      <c r="L96" s="6" t="n">
        <v>101.7</v>
      </c>
      <c r="N96" s="18" t="n">
        <v>0</v>
      </c>
      <c r="O96" s="18" t="n">
        <v>1.310195</v>
      </c>
      <c r="P96" s="18" t="n">
        <v>0.408238</v>
      </c>
      <c r="Q96" s="18" t="n">
        <v>1.868766</v>
      </c>
    </row>
    <row r="97">
      <c r="A97" s="30" t="n">
        <v>4304697</v>
      </c>
      <c r="B97" s="5" t="inlineStr">
        <is>
          <t>Capitão</t>
        </is>
      </c>
      <c r="C97" s="19">
        <f>N97</f>
        <v/>
      </c>
      <c r="D97" s="19">
        <f>O97</f>
        <v/>
      </c>
      <c r="E97" s="19">
        <f>P97</f>
        <v/>
      </c>
      <c r="F97" s="19">
        <f>Q97</f>
        <v/>
      </c>
      <c r="G97" s="19">
        <f>C97+D97+E97+F97</f>
        <v/>
      </c>
      <c r="H97" s="6" t="n">
        <v>0</v>
      </c>
      <c r="I97" s="31" t="n">
        <v>0</v>
      </c>
      <c r="J97" s="6" t="n">
        <v>0</v>
      </c>
      <c r="K97" s="12" t="n">
        <v>0</v>
      </c>
      <c r="L97" s="6" t="n">
        <v>57.4</v>
      </c>
      <c r="N97" s="18" t="n">
        <v>0</v>
      </c>
      <c r="O97" s="18" t="n">
        <v>0.489791</v>
      </c>
      <c r="P97" s="18" t="n">
        <v>0.290679</v>
      </c>
      <c r="Q97" s="18" t="n">
        <v>0.875064</v>
      </c>
    </row>
    <row r="98">
      <c r="A98" s="30" t="n">
        <v>4304705</v>
      </c>
      <c r="B98" s="5" t="inlineStr">
        <is>
          <t>Carazinho</t>
        </is>
      </c>
      <c r="C98" s="19">
        <f>N98</f>
        <v/>
      </c>
      <c r="D98" s="19">
        <f>O98</f>
        <v/>
      </c>
      <c r="E98" s="19">
        <f>P98</f>
        <v/>
      </c>
      <c r="F98" s="19">
        <f>Q98</f>
        <v/>
      </c>
      <c r="G98" s="19">
        <f>C98+D98+E98+F98</f>
        <v/>
      </c>
      <c r="H98" s="6" t="n">
        <v>0</v>
      </c>
      <c r="I98" s="31" t="n">
        <v>0</v>
      </c>
      <c r="J98" s="6" t="n">
        <v>0</v>
      </c>
      <c r="K98" s="12" t="n">
        <v>0</v>
      </c>
      <c r="L98" s="6" t="n">
        <v>158.1</v>
      </c>
      <c r="N98" s="18" t="n">
        <v>0</v>
      </c>
      <c r="O98" s="18" t="n">
        <v>3.094022</v>
      </c>
      <c r="P98" s="18" t="n">
        <v>0.945682</v>
      </c>
      <c r="Q98" s="18" t="n">
        <v>0.923628</v>
      </c>
    </row>
    <row r="99">
      <c r="A99" s="30" t="n">
        <v>4304713</v>
      </c>
      <c r="B99" s="5" t="inlineStr">
        <is>
          <t>Caraá</t>
        </is>
      </c>
      <c r="C99" s="19">
        <f>N99</f>
        <v/>
      </c>
      <c r="D99" s="19">
        <f>O99</f>
        <v/>
      </c>
      <c r="E99" s="19">
        <f>P99</f>
        <v/>
      </c>
      <c r="F99" s="19">
        <f>Q99</f>
        <v/>
      </c>
      <c r="G99" s="19">
        <f>C99+D99+E99+F99</f>
        <v/>
      </c>
      <c r="H99" s="6" t="n">
        <v>0</v>
      </c>
      <c r="I99" s="31" t="n">
        <v>0</v>
      </c>
      <c r="J99" s="6" t="n">
        <v>56</v>
      </c>
      <c r="K99" s="12" t="n">
        <v>0.482</v>
      </c>
      <c r="L99" s="6" t="n">
        <v>200.2</v>
      </c>
      <c r="N99" s="18" t="n">
        <v>0.009372</v>
      </c>
      <c r="O99" s="18" t="n">
        <v>0.203169</v>
      </c>
      <c r="P99" s="18" t="n">
        <v>0.082625</v>
      </c>
      <c r="Q99" s="18" t="n">
        <v>0.651093</v>
      </c>
    </row>
    <row r="100">
      <c r="A100" s="30" t="n">
        <v>4304804</v>
      </c>
      <c r="B100" s="5" t="inlineStr">
        <is>
          <t>Carlos Barbosa</t>
        </is>
      </c>
      <c r="C100" s="19">
        <f>N100</f>
        <v/>
      </c>
      <c r="D100" s="19">
        <f>O100</f>
        <v/>
      </c>
      <c r="E100" s="19">
        <f>P100</f>
        <v/>
      </c>
      <c r="F100" s="19">
        <f>Q100</f>
        <v/>
      </c>
      <c r="G100" s="19">
        <f>C100+D100+E100+F100</f>
        <v/>
      </c>
      <c r="H100" s="6" t="n">
        <v>0</v>
      </c>
      <c r="I100" s="31" t="n">
        <v>0</v>
      </c>
      <c r="J100" s="6" t="n">
        <v>0</v>
      </c>
      <c r="K100" s="12" t="n">
        <v>0</v>
      </c>
      <c r="L100" s="6" t="n">
        <v>94.7</v>
      </c>
      <c r="N100" s="18" t="n">
        <v>0</v>
      </c>
      <c r="O100" s="18" t="n">
        <v>26.913851</v>
      </c>
      <c r="P100" s="18" t="n">
        <v>1.364303</v>
      </c>
      <c r="Q100" s="18" t="n">
        <v>2.915001</v>
      </c>
    </row>
    <row r="101">
      <c r="A101" s="30" t="n">
        <v>4304853</v>
      </c>
      <c r="B101" s="5" t="inlineStr">
        <is>
          <t>Carlos Gomes</t>
        </is>
      </c>
      <c r="C101" s="19">
        <f>N101</f>
        <v/>
      </c>
      <c r="D101" s="19">
        <f>O101</f>
        <v/>
      </c>
      <c r="E101" s="19">
        <f>P101</f>
        <v/>
      </c>
      <c r="F101" s="19">
        <f>Q101</f>
        <v/>
      </c>
      <c r="G101" s="19">
        <f>C101+D101+E101+F101</f>
        <v/>
      </c>
      <c r="H101" s="6" t="n">
        <v>0</v>
      </c>
      <c r="I101" s="31" t="n">
        <v>0</v>
      </c>
      <c r="J101" s="6" t="n">
        <v>7</v>
      </c>
      <c r="K101" s="12" t="n">
        <v>0.06</v>
      </c>
      <c r="L101" s="6" t="n">
        <v>220.3</v>
      </c>
      <c r="N101" s="18" t="n">
        <v>0.001172</v>
      </c>
      <c r="O101" s="18" t="n">
        <v>0.019917</v>
      </c>
      <c r="P101" s="18" t="n">
        <v>0.029788</v>
      </c>
      <c r="Q101" s="18" t="n">
        <v>0.06821099999999999</v>
      </c>
    </row>
    <row r="102">
      <c r="A102" s="30" t="n">
        <v>4304903</v>
      </c>
      <c r="B102" s="5" t="inlineStr">
        <is>
          <t>Casca</t>
        </is>
      </c>
      <c r="C102" s="19">
        <f>N102</f>
        <v/>
      </c>
      <c r="D102" s="19">
        <f>O102</f>
        <v/>
      </c>
      <c r="E102" s="19">
        <f>P102</f>
        <v/>
      </c>
      <c r="F102" s="19">
        <f>Q102</f>
        <v/>
      </c>
      <c r="G102" s="19">
        <f>C102+D102+E102+F102</f>
        <v/>
      </c>
      <c r="H102" s="6" t="n">
        <v>0</v>
      </c>
      <c r="I102" s="31" t="n">
        <v>0</v>
      </c>
      <c r="J102" s="6" t="n">
        <v>45</v>
      </c>
      <c r="K102" s="12" t="n">
        <v>0.387</v>
      </c>
      <c r="L102" s="6" t="n">
        <v>124.2</v>
      </c>
      <c r="N102" s="18" t="n">
        <v>0.007531</v>
      </c>
      <c r="O102" s="18" t="n">
        <v>0.638884</v>
      </c>
      <c r="P102" s="18" t="n">
        <v>0.600832</v>
      </c>
      <c r="Q102" s="18" t="n">
        <v>0.827254</v>
      </c>
    </row>
    <row r="103">
      <c r="A103" s="30" t="n">
        <v>4304952</v>
      </c>
      <c r="B103" s="5" t="inlineStr">
        <is>
          <t>Caseiros</t>
        </is>
      </c>
      <c r="C103" s="19">
        <f>N103</f>
        <v/>
      </c>
      <c r="D103" s="19">
        <f>O103</f>
        <v/>
      </c>
      <c r="E103" s="19">
        <f>P103</f>
        <v/>
      </c>
      <c r="F103" s="19">
        <f>Q103</f>
        <v/>
      </c>
      <c r="G103" s="19">
        <f>C103+D103+E103+F103</f>
        <v/>
      </c>
      <c r="H103" s="6" t="n">
        <v>0</v>
      </c>
      <c r="I103" s="31" t="n">
        <v>0</v>
      </c>
      <c r="J103" s="6" t="n">
        <v>0</v>
      </c>
      <c r="K103" s="12" t="n">
        <v>0</v>
      </c>
      <c r="L103" s="6" t="n">
        <v>168.2</v>
      </c>
      <c r="N103" s="18" t="n">
        <v>0</v>
      </c>
      <c r="O103" s="18" t="n">
        <v>0.098025</v>
      </c>
      <c r="P103" s="18" t="n">
        <v>0.131309</v>
      </c>
      <c r="Q103" s="18" t="n">
        <v>0.284756</v>
      </c>
    </row>
    <row r="104">
      <c r="A104" s="30" t="n">
        <v>4305009</v>
      </c>
      <c r="B104" s="5" t="inlineStr">
        <is>
          <t>Catuípe</t>
        </is>
      </c>
      <c r="C104" s="19">
        <f>N104</f>
        <v/>
      </c>
      <c r="D104" s="19">
        <f>O104</f>
        <v/>
      </c>
      <c r="E104" s="19">
        <f>P104</f>
        <v/>
      </c>
      <c r="F104" s="19">
        <f>Q104</f>
        <v/>
      </c>
      <c r="G104" s="19">
        <f>C104+D104+E104+F104</f>
        <v/>
      </c>
      <c r="H104" s="6" t="n">
        <v>0</v>
      </c>
      <c r="I104" s="31" t="n">
        <v>0</v>
      </c>
      <c r="J104" s="6" t="n">
        <v>0</v>
      </c>
      <c r="K104" s="12" t="n">
        <v>0</v>
      </c>
      <c r="L104" s="6" t="n">
        <v>228</v>
      </c>
      <c r="N104" s="18" t="n">
        <v>0</v>
      </c>
      <c r="O104" s="18" t="n">
        <v>0.059662</v>
      </c>
      <c r="P104" s="18" t="n">
        <v>0.137752</v>
      </c>
      <c r="Q104" s="18" t="n">
        <v>0.06773</v>
      </c>
    </row>
    <row r="105">
      <c r="A105" s="30" t="n">
        <v>4305108</v>
      </c>
      <c r="B105" s="5" t="inlineStr">
        <is>
          <t>Caxias do Sul</t>
        </is>
      </c>
      <c r="C105" s="19">
        <f>N105</f>
        <v/>
      </c>
      <c r="D105" s="19">
        <f>O105</f>
        <v/>
      </c>
      <c r="E105" s="19">
        <f>P105</f>
        <v/>
      </c>
      <c r="F105" s="19">
        <f>Q105</f>
        <v/>
      </c>
      <c r="G105" s="19">
        <f>C105+D105+E105+F105</f>
        <v/>
      </c>
      <c r="H105" s="6" t="n">
        <v>0</v>
      </c>
      <c r="I105" s="31" t="n">
        <v>0</v>
      </c>
      <c r="J105" s="6" t="n">
        <v>0</v>
      </c>
      <c r="K105" s="12" t="n">
        <v>0</v>
      </c>
      <c r="L105" s="6" t="n">
        <v>147.2</v>
      </c>
      <c r="N105" s="18" t="n">
        <v>0</v>
      </c>
      <c r="O105" s="18" t="n">
        <v>69.15040399999999</v>
      </c>
      <c r="P105" s="18" t="n">
        <v>3.280267</v>
      </c>
      <c r="Q105" s="18" t="n">
        <v>8.558187</v>
      </c>
    </row>
    <row r="106">
      <c r="A106" s="30" t="n">
        <v>4305116</v>
      </c>
      <c r="B106" s="5" t="inlineStr">
        <is>
          <t>Centenário</t>
        </is>
      </c>
      <c r="C106" s="19">
        <f>N106</f>
        <v/>
      </c>
      <c r="D106" s="19">
        <f>O106</f>
        <v/>
      </c>
      <c r="E106" s="19">
        <f>P106</f>
        <v/>
      </c>
      <c r="F106" s="19">
        <f>Q106</f>
        <v/>
      </c>
      <c r="G106" s="19">
        <f>C106+D106+E106+F106</f>
        <v/>
      </c>
      <c r="H106" s="6" t="n">
        <v>0</v>
      </c>
      <c r="I106" s="31" t="n">
        <v>0</v>
      </c>
      <c r="J106" s="6" t="n">
        <v>33</v>
      </c>
      <c r="K106" s="12" t="n">
        <v>0.284</v>
      </c>
      <c r="L106" s="6" t="n">
        <v>211.1</v>
      </c>
      <c r="N106" s="18" t="n">
        <v>0.005523</v>
      </c>
      <c r="O106" s="18" t="n">
        <v>0.022231</v>
      </c>
      <c r="P106" s="18" t="n">
        <v>0.057158</v>
      </c>
      <c r="Q106" s="18" t="n">
        <v>0.110414</v>
      </c>
    </row>
    <row r="107">
      <c r="A107" s="30" t="n">
        <v>4305124</v>
      </c>
      <c r="B107" s="5" t="inlineStr">
        <is>
          <t>Cerrito</t>
        </is>
      </c>
      <c r="C107" s="19">
        <f>N107</f>
        <v/>
      </c>
      <c r="D107" s="19">
        <f>O107</f>
        <v/>
      </c>
      <c r="E107" s="19">
        <f>P107</f>
        <v/>
      </c>
      <c r="F107" s="19">
        <f>Q107</f>
        <v/>
      </c>
      <c r="G107" s="19">
        <f>C107+D107+E107+F107</f>
        <v/>
      </c>
      <c r="H107" s="6" t="n">
        <v>0</v>
      </c>
      <c r="I107" s="31" t="n">
        <v>0</v>
      </c>
      <c r="J107" s="6" t="n">
        <v>20</v>
      </c>
      <c r="K107" s="12" t="n">
        <v>0.172</v>
      </c>
      <c r="L107" s="6" t="n">
        <v>234.2</v>
      </c>
      <c r="N107" s="18" t="n">
        <v>0.003347</v>
      </c>
      <c r="O107" s="18" t="n">
        <v>0.03117</v>
      </c>
      <c r="P107" s="18" t="n">
        <v>0.056014</v>
      </c>
      <c r="Q107" s="18" t="n">
        <v>0.029621</v>
      </c>
    </row>
    <row r="108">
      <c r="A108" s="30" t="n">
        <v>4305132</v>
      </c>
      <c r="B108" s="5" t="inlineStr">
        <is>
          <t>Cerro Branco</t>
        </is>
      </c>
      <c r="C108" s="19">
        <f>N108</f>
        <v/>
      </c>
      <c r="D108" s="19">
        <f>O108</f>
        <v/>
      </c>
      <c r="E108" s="19">
        <f>P108</f>
        <v/>
      </c>
      <c r="F108" s="19">
        <f>Q108</f>
        <v/>
      </c>
      <c r="G108" s="19">
        <f>C108+D108+E108+F108</f>
        <v/>
      </c>
      <c r="H108" s="6" t="n">
        <v>0</v>
      </c>
      <c r="I108" s="31" t="n">
        <v>0</v>
      </c>
      <c r="J108" s="6" t="n">
        <v>2925</v>
      </c>
      <c r="K108" s="12" t="n">
        <v>25.155</v>
      </c>
      <c r="L108" s="6" t="n">
        <v>57</v>
      </c>
      <c r="N108" s="18" t="n">
        <v>0.489521</v>
      </c>
      <c r="O108" s="18" t="n">
        <v>0.149871</v>
      </c>
      <c r="P108" s="18" t="n">
        <v>0.42103</v>
      </c>
      <c r="Q108" s="18" t="n">
        <v>0.659686</v>
      </c>
    </row>
    <row r="109">
      <c r="A109" s="30" t="n">
        <v>4305157</v>
      </c>
      <c r="B109" s="5" t="inlineStr">
        <is>
          <t>Cerro Grande</t>
        </is>
      </c>
      <c r="C109" s="19">
        <f>N109</f>
        <v/>
      </c>
      <c r="D109" s="19">
        <f>O109</f>
        <v/>
      </c>
      <c r="E109" s="19">
        <f>P109</f>
        <v/>
      </c>
      <c r="F109" s="19">
        <f>Q109</f>
        <v/>
      </c>
      <c r="G109" s="19">
        <f>C109+D109+E109+F109</f>
        <v/>
      </c>
      <c r="H109" s="6" t="n">
        <v>0</v>
      </c>
      <c r="I109" s="31" t="n">
        <v>0</v>
      </c>
      <c r="J109" s="6" t="n">
        <v>23</v>
      </c>
      <c r="K109" s="12" t="n">
        <v>0.198</v>
      </c>
      <c r="L109" s="6" t="n">
        <v>235.6</v>
      </c>
      <c r="N109" s="18" t="n">
        <v>0.003849</v>
      </c>
      <c r="O109" s="18" t="n">
        <v>0.000223</v>
      </c>
      <c r="P109" s="18" t="n">
        <v>0.042455</v>
      </c>
      <c r="Q109" s="18" t="n">
        <v>0.046074</v>
      </c>
    </row>
    <row r="110">
      <c r="A110" s="30" t="n">
        <v>4305173</v>
      </c>
      <c r="B110" s="5" t="inlineStr">
        <is>
          <t>Cerro Grande do Sul</t>
        </is>
      </c>
      <c r="C110" s="19">
        <f>N110</f>
        <v/>
      </c>
      <c r="D110" s="19">
        <f>O110</f>
        <v/>
      </c>
      <c r="E110" s="19">
        <f>P110</f>
        <v/>
      </c>
      <c r="F110" s="19">
        <f>Q110</f>
        <v/>
      </c>
      <c r="G110" s="19">
        <f>C110+D110+E110+F110</f>
        <v/>
      </c>
      <c r="H110" s="6" t="n">
        <v>0</v>
      </c>
      <c r="I110" s="31" t="n">
        <v>0</v>
      </c>
      <c r="J110" s="6" t="n">
        <v>3434</v>
      </c>
      <c r="K110" s="12" t="n">
        <v>29.532</v>
      </c>
      <c r="L110" s="6" t="n">
        <v>121.3</v>
      </c>
      <c r="N110" s="18" t="n">
        <v>0.5747060000000001</v>
      </c>
      <c r="O110" s="18" t="n">
        <v>0.210221</v>
      </c>
      <c r="P110" s="18" t="n">
        <v>0.317102</v>
      </c>
      <c r="Q110" s="18" t="n">
        <v>0.8113089999999999</v>
      </c>
    </row>
    <row r="111">
      <c r="A111" s="30" t="n">
        <v>4305207</v>
      </c>
      <c r="B111" s="5" t="inlineStr">
        <is>
          <t>Cerro Largo</t>
        </is>
      </c>
      <c r="C111" s="19">
        <f>N111</f>
        <v/>
      </c>
      <c r="D111" s="19">
        <f>O111</f>
        <v/>
      </c>
      <c r="E111" s="19">
        <f>P111</f>
        <v/>
      </c>
      <c r="F111" s="19">
        <f>Q111</f>
        <v/>
      </c>
      <c r="G111" s="19">
        <f>C111+D111+E111+F111</f>
        <v/>
      </c>
      <c r="H111" s="6" t="n">
        <v>0</v>
      </c>
      <c r="I111" s="31" t="n">
        <v>0</v>
      </c>
      <c r="J111" s="6" t="n">
        <v>0</v>
      </c>
      <c r="K111" s="12" t="n">
        <v>0</v>
      </c>
      <c r="L111" s="6" t="n">
        <v>282.7</v>
      </c>
      <c r="N111" s="18" t="n">
        <v>0</v>
      </c>
      <c r="O111" s="18" t="n">
        <v>0</v>
      </c>
      <c r="P111" s="18" t="n">
        <v>0</v>
      </c>
      <c r="Q111" s="18" t="n">
        <v>0.028183</v>
      </c>
    </row>
    <row r="112">
      <c r="A112" s="30" t="n">
        <v>4305306</v>
      </c>
      <c r="B112" s="5" t="inlineStr">
        <is>
          <t>Chapada</t>
        </is>
      </c>
      <c r="C112" s="19">
        <f>N112</f>
        <v/>
      </c>
      <c r="D112" s="19">
        <f>O112</f>
        <v/>
      </c>
      <c r="E112" s="19">
        <f>P112</f>
        <v/>
      </c>
      <c r="F112" s="19">
        <f>Q112</f>
        <v/>
      </c>
      <c r="G112" s="19">
        <f>C112+D112+E112+F112</f>
        <v/>
      </c>
      <c r="H112" s="6" t="n">
        <v>0</v>
      </c>
      <c r="I112" s="31" t="n">
        <v>0</v>
      </c>
      <c r="J112" s="6" t="n">
        <v>0</v>
      </c>
      <c r="K112" s="12" t="n">
        <v>0</v>
      </c>
      <c r="L112" s="6" t="n">
        <v>185.1</v>
      </c>
      <c r="N112" s="18" t="n">
        <v>0</v>
      </c>
      <c r="O112" s="18" t="n">
        <v>0.255804</v>
      </c>
      <c r="P112" s="18" t="n">
        <v>0.254032</v>
      </c>
      <c r="Q112" s="18" t="n">
        <v>0.157405</v>
      </c>
    </row>
    <row r="113">
      <c r="A113" s="30" t="n">
        <v>4305355</v>
      </c>
      <c r="B113" s="5" t="inlineStr">
        <is>
          <t>Charqueadas</t>
        </is>
      </c>
      <c r="C113" s="19">
        <f>N113</f>
        <v/>
      </c>
      <c r="D113" s="19">
        <f>O113</f>
        <v/>
      </c>
      <c r="E113" s="19">
        <f>P113</f>
        <v/>
      </c>
      <c r="F113" s="19">
        <f>Q113</f>
        <v/>
      </c>
      <c r="G113" s="19">
        <f>C113+D113+E113+F113</f>
        <v/>
      </c>
      <c r="H113" s="6" t="n">
        <v>0</v>
      </c>
      <c r="I113" s="31" t="n">
        <v>0</v>
      </c>
      <c r="J113" s="6" t="n">
        <v>0</v>
      </c>
      <c r="K113" s="12" t="n">
        <v>0</v>
      </c>
      <c r="L113" s="6" t="n">
        <v>90.59999999999999</v>
      </c>
      <c r="N113" s="18" t="n">
        <v>0</v>
      </c>
      <c r="O113" s="18" t="n">
        <v>1.04182</v>
      </c>
      <c r="P113" s="18" t="n">
        <v>1.12744</v>
      </c>
      <c r="Q113" s="18" t="n">
        <v>3.030646</v>
      </c>
    </row>
    <row r="114">
      <c r="A114" s="30" t="n">
        <v>4305371</v>
      </c>
      <c r="B114" s="5" t="inlineStr">
        <is>
          <t>Charrua</t>
        </is>
      </c>
      <c r="C114" s="19">
        <f>N114</f>
        <v/>
      </c>
      <c r="D114" s="19">
        <f>O114</f>
        <v/>
      </c>
      <c r="E114" s="19">
        <f>P114</f>
        <v/>
      </c>
      <c r="F114" s="19">
        <f>Q114</f>
        <v/>
      </c>
      <c r="G114" s="19">
        <f>C114+D114+E114+F114</f>
        <v/>
      </c>
      <c r="H114" s="6" t="n">
        <v>0</v>
      </c>
      <c r="I114" s="31" t="n">
        <v>0</v>
      </c>
      <c r="J114" s="6" t="n">
        <v>0</v>
      </c>
      <c r="K114" s="12" t="n">
        <v>0</v>
      </c>
      <c r="L114" s="6" t="n">
        <v>192.7</v>
      </c>
      <c r="N114" s="18" t="n">
        <v>0</v>
      </c>
      <c r="O114" s="18" t="n">
        <v>0.030913</v>
      </c>
      <c r="P114" s="18" t="n">
        <v>0.067353</v>
      </c>
      <c r="Q114" s="18" t="n">
        <v>0.149338</v>
      </c>
    </row>
    <row r="115">
      <c r="A115" s="30" t="n">
        <v>4305405</v>
      </c>
      <c r="B115" s="5" t="inlineStr">
        <is>
          <t>Chiapetta</t>
        </is>
      </c>
      <c r="C115" s="19">
        <f>N115</f>
        <v/>
      </c>
      <c r="D115" s="19">
        <f>O115</f>
        <v/>
      </c>
      <c r="E115" s="19">
        <f>P115</f>
        <v/>
      </c>
      <c r="F115" s="19">
        <f>Q115</f>
        <v/>
      </c>
      <c r="G115" s="19">
        <f>C115+D115+E115+F115</f>
        <v/>
      </c>
      <c r="H115" s="6" t="n">
        <v>0</v>
      </c>
      <c r="I115" s="31" t="n">
        <v>0</v>
      </c>
      <c r="J115" s="6" t="n">
        <v>0</v>
      </c>
      <c r="K115" s="12" t="n">
        <v>0</v>
      </c>
      <c r="L115" s="6" t="n">
        <v>235.3</v>
      </c>
      <c r="N115" s="18" t="n">
        <v>0</v>
      </c>
      <c r="O115" s="18" t="n">
        <v>0.030284</v>
      </c>
      <c r="P115" s="18" t="n">
        <v>0.07462299999999999</v>
      </c>
      <c r="Q115" s="18" t="n">
        <v>0.046046</v>
      </c>
    </row>
    <row r="116">
      <c r="A116" s="30" t="n">
        <v>4305439</v>
      </c>
      <c r="B116" s="5" t="inlineStr">
        <is>
          <t>Chuí</t>
        </is>
      </c>
      <c r="C116" s="19">
        <f>N116</f>
        <v/>
      </c>
      <c r="D116" s="19">
        <f>O116</f>
        <v/>
      </c>
      <c r="E116" s="19">
        <f>P116</f>
        <v/>
      </c>
      <c r="F116" s="19">
        <f>Q116</f>
        <v/>
      </c>
      <c r="G116" s="19">
        <f>C116+D116+E116+F116</f>
        <v/>
      </c>
      <c r="H116" s="6" t="n">
        <v>0</v>
      </c>
      <c r="I116" s="31" t="n">
        <v>0</v>
      </c>
      <c r="J116" s="6" t="n">
        <v>0</v>
      </c>
      <c r="K116" s="12" t="n">
        <v>0</v>
      </c>
      <c r="L116" s="6" t="n">
        <v>454.6</v>
      </c>
      <c r="N116" s="18" t="n">
        <v>0</v>
      </c>
      <c r="O116" s="18" t="n">
        <v>0</v>
      </c>
      <c r="P116" s="18" t="n">
        <v>0</v>
      </c>
      <c r="Q116" s="18" t="n">
        <v>0</v>
      </c>
    </row>
    <row r="117">
      <c r="A117" s="30" t="n">
        <v>4305447</v>
      </c>
      <c r="B117" s="5" t="inlineStr">
        <is>
          <t>Chuvisca</t>
        </is>
      </c>
      <c r="C117" s="19">
        <f>N117</f>
        <v/>
      </c>
      <c r="D117" s="19">
        <f>O117</f>
        <v/>
      </c>
      <c r="E117" s="19">
        <f>P117</f>
        <v/>
      </c>
      <c r="F117" s="19">
        <f>Q117</f>
        <v/>
      </c>
      <c r="G117" s="19">
        <f>C117+D117+E117+F117</f>
        <v/>
      </c>
      <c r="H117" s="6" t="n">
        <v>0</v>
      </c>
      <c r="I117" s="31" t="n">
        <v>0</v>
      </c>
      <c r="J117" s="6" t="n">
        <v>5513</v>
      </c>
      <c r="K117" s="12" t="n">
        <v>47.412</v>
      </c>
      <c r="L117" s="6" t="n">
        <v>131.8</v>
      </c>
      <c r="N117" s="18" t="n">
        <v>0.922642</v>
      </c>
      <c r="O117" s="18" t="n">
        <v>0.08602700000000001</v>
      </c>
      <c r="P117" s="18" t="n">
        <v>0.157676</v>
      </c>
      <c r="Q117" s="18" t="n">
        <v>0.405592</v>
      </c>
    </row>
    <row r="118">
      <c r="A118" s="30" t="n">
        <v>4305454</v>
      </c>
      <c r="B118" s="5" t="inlineStr">
        <is>
          <t>Cidreira</t>
        </is>
      </c>
      <c r="C118" s="19">
        <f>N118</f>
        <v/>
      </c>
      <c r="D118" s="19">
        <f>O118</f>
        <v/>
      </c>
      <c r="E118" s="19">
        <f>P118</f>
        <v/>
      </c>
      <c r="F118" s="19">
        <f>Q118</f>
        <v/>
      </c>
      <c r="G118" s="19">
        <f>C118+D118+E118+F118</f>
        <v/>
      </c>
      <c r="H118" s="6" t="n">
        <v>0</v>
      </c>
      <c r="I118" s="31" t="n">
        <v>0</v>
      </c>
      <c r="J118" s="6" t="n">
        <v>0</v>
      </c>
      <c r="K118" s="12" t="n">
        <v>0</v>
      </c>
      <c r="L118" s="6" t="n">
        <v>212.7</v>
      </c>
      <c r="N118" s="18" t="n">
        <v>0</v>
      </c>
      <c r="O118" s="18" t="n">
        <v>0.049441</v>
      </c>
      <c r="P118" s="18" t="n">
        <v>0.212625</v>
      </c>
      <c r="Q118" s="18" t="n">
        <v>0.7891049999999999</v>
      </c>
    </row>
    <row r="119">
      <c r="A119" s="30" t="n">
        <v>4305504</v>
      </c>
      <c r="B119" s="5" t="inlineStr">
        <is>
          <t>Ciríaco</t>
        </is>
      </c>
      <c r="C119" s="19">
        <f>N119</f>
        <v/>
      </c>
      <c r="D119" s="19">
        <f>O119</f>
        <v/>
      </c>
      <c r="E119" s="19">
        <f>P119</f>
        <v/>
      </c>
      <c r="F119" s="19">
        <f>Q119</f>
        <v/>
      </c>
      <c r="G119" s="19">
        <f>C119+D119+E119+F119</f>
        <v/>
      </c>
      <c r="H119" s="6" t="n">
        <v>0</v>
      </c>
      <c r="I119" s="31" t="n">
        <v>0</v>
      </c>
      <c r="J119" s="6" t="n">
        <v>473</v>
      </c>
      <c r="K119" s="12" t="n">
        <v>4.068</v>
      </c>
      <c r="L119" s="6" t="n">
        <v>151.8</v>
      </c>
      <c r="N119" s="18" t="n">
        <v>0.07915999999999999</v>
      </c>
      <c r="O119" s="18" t="n">
        <v>0.163007</v>
      </c>
      <c r="P119" s="18" t="n">
        <v>0.157249</v>
      </c>
      <c r="Q119" s="18" t="n">
        <v>0.386477</v>
      </c>
    </row>
    <row r="120">
      <c r="A120" s="30" t="n">
        <v>4305587</v>
      </c>
      <c r="B120" s="5" t="inlineStr">
        <is>
          <t>Colinas</t>
        </is>
      </c>
      <c r="C120" s="19">
        <f>N120</f>
        <v/>
      </c>
      <c r="D120" s="19">
        <f>O120</f>
        <v/>
      </c>
      <c r="E120" s="19">
        <f>P120</f>
        <v/>
      </c>
      <c r="F120" s="19">
        <f>Q120</f>
        <v/>
      </c>
      <c r="G120" s="19">
        <f>C120+D120+E120+F120</f>
        <v/>
      </c>
      <c r="H120" s="6" t="n">
        <v>0</v>
      </c>
      <c r="I120" s="31" t="n">
        <v>0</v>
      </c>
      <c r="J120" s="6" t="n">
        <v>0</v>
      </c>
      <c r="K120" s="12" t="n">
        <v>0</v>
      </c>
      <c r="L120" s="6" t="n">
        <v>59.6</v>
      </c>
      <c r="N120" s="18" t="n">
        <v>0</v>
      </c>
      <c r="O120" s="18" t="n">
        <v>1.008237</v>
      </c>
      <c r="P120" s="18" t="n">
        <v>0.337351</v>
      </c>
      <c r="Q120" s="18" t="n">
        <v>0.844124</v>
      </c>
    </row>
    <row r="121">
      <c r="A121" s="30" t="n">
        <v>4305603</v>
      </c>
      <c r="B121" s="5" t="inlineStr">
        <is>
          <t>Colorado</t>
        </is>
      </c>
      <c r="C121" s="19">
        <f>N121</f>
        <v/>
      </c>
      <c r="D121" s="19">
        <f>O121</f>
        <v/>
      </c>
      <c r="E121" s="19">
        <f>P121</f>
        <v/>
      </c>
      <c r="F121" s="19">
        <f>Q121</f>
        <v/>
      </c>
      <c r="G121" s="19">
        <f>C121+D121+E121+F121</f>
        <v/>
      </c>
      <c r="H121" s="6" t="n">
        <v>0</v>
      </c>
      <c r="I121" s="31" t="n">
        <v>0</v>
      </c>
      <c r="J121" s="6" t="n">
        <v>0</v>
      </c>
      <c r="K121" s="12" t="n">
        <v>0</v>
      </c>
      <c r="L121" s="6" t="n">
        <v>142</v>
      </c>
      <c r="N121" s="18" t="n">
        <v>0</v>
      </c>
      <c r="O121" s="18" t="n">
        <v>0.117061</v>
      </c>
      <c r="P121" s="18" t="n">
        <v>0.1728</v>
      </c>
      <c r="Q121" s="18" t="n">
        <v>0.230927</v>
      </c>
    </row>
    <row r="122">
      <c r="A122" s="30" t="n">
        <v>4305702</v>
      </c>
      <c r="B122" s="5" t="inlineStr">
        <is>
          <t>Condor</t>
        </is>
      </c>
      <c r="C122" s="19">
        <f>N122</f>
        <v/>
      </c>
      <c r="D122" s="19">
        <f>O122</f>
        <v/>
      </c>
      <c r="E122" s="19">
        <f>P122</f>
        <v/>
      </c>
      <c r="F122" s="19">
        <f>Q122</f>
        <v/>
      </c>
      <c r="G122" s="19">
        <f>C122+D122+E122+F122</f>
        <v/>
      </c>
      <c r="H122" s="6" t="n">
        <v>0</v>
      </c>
      <c r="I122" s="31" t="n">
        <v>0</v>
      </c>
      <c r="J122" s="6" t="n">
        <v>0</v>
      </c>
      <c r="K122" s="12" t="n">
        <v>0</v>
      </c>
      <c r="L122" s="6" t="n">
        <v>195.4</v>
      </c>
      <c r="N122" s="18" t="n">
        <v>0</v>
      </c>
      <c r="O122" s="18" t="n">
        <v>0.248734</v>
      </c>
      <c r="P122" s="18" t="n">
        <v>0.183042</v>
      </c>
      <c r="Q122" s="18" t="n">
        <v>0.103058</v>
      </c>
    </row>
    <row r="123">
      <c r="A123" s="30" t="n">
        <v>4305801</v>
      </c>
      <c r="B123" s="5" t="inlineStr">
        <is>
          <t>Constantina</t>
        </is>
      </c>
      <c r="C123" s="19">
        <f>N123</f>
        <v/>
      </c>
      <c r="D123" s="19">
        <f>O123</f>
        <v/>
      </c>
      <c r="E123" s="19">
        <f>P123</f>
        <v/>
      </c>
      <c r="F123" s="19">
        <f>Q123</f>
        <v/>
      </c>
      <c r="G123" s="19">
        <f>C123+D123+E123+F123</f>
        <v/>
      </c>
      <c r="H123" s="6" t="n">
        <v>0</v>
      </c>
      <c r="I123" s="31" t="n">
        <v>0</v>
      </c>
      <c r="J123" s="6" t="n">
        <v>14</v>
      </c>
      <c r="K123" s="12" t="n">
        <v>0.12</v>
      </c>
      <c r="L123" s="6" t="n">
        <v>224.3</v>
      </c>
      <c r="N123" s="18" t="n">
        <v>0.002343</v>
      </c>
      <c r="O123" s="18" t="n">
        <v>0.291724</v>
      </c>
      <c r="P123" s="18" t="n">
        <v>0.189701</v>
      </c>
      <c r="Q123" s="18" t="n">
        <v>0.11516</v>
      </c>
    </row>
    <row r="124">
      <c r="A124" s="30" t="n">
        <v>4305835</v>
      </c>
      <c r="B124" s="5" t="inlineStr">
        <is>
          <t>Coqueiro Baixo</t>
        </is>
      </c>
      <c r="C124" s="19">
        <f>N124</f>
        <v/>
      </c>
      <c r="D124" s="19">
        <f>O124</f>
        <v/>
      </c>
      <c r="E124" s="19">
        <f>P124</f>
        <v/>
      </c>
      <c r="F124" s="19">
        <f>Q124</f>
        <v/>
      </c>
      <c r="G124" s="19">
        <f>C124+D124+E124+F124</f>
        <v/>
      </c>
      <c r="H124" s="6" t="n">
        <v>0</v>
      </c>
      <c r="I124" s="31" t="n">
        <v>0</v>
      </c>
      <c r="J124" s="6" t="n">
        <v>99</v>
      </c>
      <c r="K124" s="12" t="n">
        <v>0.851</v>
      </c>
      <c r="L124" s="6" t="n">
        <v>59.6</v>
      </c>
      <c r="N124" s="18" t="n">
        <v>0.016568</v>
      </c>
      <c r="O124" s="18" t="n">
        <v>0.000955</v>
      </c>
      <c r="P124" s="18" t="n">
        <v>0.163963</v>
      </c>
      <c r="Q124" s="18" t="n">
        <v>0.49067</v>
      </c>
    </row>
    <row r="125">
      <c r="A125" s="30" t="n">
        <v>4305850</v>
      </c>
      <c r="B125" s="5" t="inlineStr">
        <is>
          <t>Coqueiros do Sul</t>
        </is>
      </c>
      <c r="C125" s="19">
        <f>N125</f>
        <v/>
      </c>
      <c r="D125" s="19">
        <f>O125</f>
        <v/>
      </c>
      <c r="E125" s="19">
        <f>P125</f>
        <v/>
      </c>
      <c r="F125" s="19">
        <f>Q125</f>
        <v/>
      </c>
      <c r="G125" s="19">
        <f>C125+D125+E125+F125</f>
        <v/>
      </c>
      <c r="H125" s="6" t="n">
        <v>0</v>
      </c>
      <c r="I125" s="31" t="n">
        <v>0</v>
      </c>
      <c r="J125" s="6" t="n">
        <v>0</v>
      </c>
      <c r="K125" s="12" t="n">
        <v>0</v>
      </c>
      <c r="L125" s="6" t="n">
        <v>171.5</v>
      </c>
      <c r="N125" s="18" t="n">
        <v>0</v>
      </c>
      <c r="O125" s="18" t="n">
        <v>0.07831100000000001</v>
      </c>
      <c r="P125" s="18" t="n">
        <v>0.097304</v>
      </c>
      <c r="Q125" s="18" t="n">
        <v>0.154106</v>
      </c>
    </row>
    <row r="126">
      <c r="A126" s="30" t="n">
        <v>4305871</v>
      </c>
      <c r="B126" s="5" t="inlineStr">
        <is>
          <t>Coronel Barros</t>
        </is>
      </c>
      <c r="C126" s="19">
        <f>N126</f>
        <v/>
      </c>
      <c r="D126" s="19">
        <f>O126</f>
        <v/>
      </c>
      <c r="E126" s="19">
        <f>P126</f>
        <v/>
      </c>
      <c r="F126" s="19">
        <f>Q126</f>
        <v/>
      </c>
      <c r="G126" s="19">
        <f>C126+D126+E126+F126</f>
        <v/>
      </c>
      <c r="H126" s="6" t="n">
        <v>0</v>
      </c>
      <c r="I126" s="31" t="n">
        <v>0</v>
      </c>
      <c r="J126" s="6" t="n">
        <v>0</v>
      </c>
      <c r="K126" s="12" t="n">
        <v>0</v>
      </c>
      <c r="L126" s="6" t="n">
        <v>211.8</v>
      </c>
      <c r="N126" s="18" t="n">
        <v>0</v>
      </c>
      <c r="O126" s="18" t="n">
        <v>0.061061</v>
      </c>
      <c r="P126" s="18" t="n">
        <v>0.075305</v>
      </c>
      <c r="Q126" s="18" t="n">
        <v>0.043462</v>
      </c>
    </row>
    <row r="127">
      <c r="A127" s="30" t="n">
        <v>4305900</v>
      </c>
      <c r="B127" s="5" t="inlineStr">
        <is>
          <t>Coronel Bicaco</t>
        </is>
      </c>
      <c r="C127" s="19">
        <f>N127</f>
        <v/>
      </c>
      <c r="D127" s="19">
        <f>O127</f>
        <v/>
      </c>
      <c r="E127" s="19">
        <f>P127</f>
        <v/>
      </c>
      <c r="F127" s="19">
        <f>Q127</f>
        <v/>
      </c>
      <c r="G127" s="19">
        <f>C127+D127+E127+F127</f>
        <v/>
      </c>
      <c r="H127" s="6" t="n">
        <v>0</v>
      </c>
      <c r="I127" s="31" t="n">
        <v>0</v>
      </c>
      <c r="J127" s="6" t="n">
        <v>0</v>
      </c>
      <c r="K127" s="12" t="n">
        <v>0</v>
      </c>
      <c r="L127" s="6" t="n">
        <v>238</v>
      </c>
      <c r="N127" s="18" t="n">
        <v>0</v>
      </c>
      <c r="O127" s="18" t="n">
        <v>0.037007</v>
      </c>
      <c r="P127" s="18" t="n">
        <v>0.103672</v>
      </c>
      <c r="Q127" s="18" t="n">
        <v>0.060966</v>
      </c>
    </row>
    <row r="128">
      <c r="A128" s="30" t="n">
        <v>4305934</v>
      </c>
      <c r="B128" s="5" t="inlineStr">
        <is>
          <t>Coronel Pilar</t>
        </is>
      </c>
      <c r="C128" s="19">
        <f>N128</f>
        <v/>
      </c>
      <c r="D128" s="19">
        <f>O128</f>
        <v/>
      </c>
      <c r="E128" s="19">
        <f>P128</f>
        <v/>
      </c>
      <c r="F128" s="19">
        <f>Q128</f>
        <v/>
      </c>
      <c r="G128" s="19">
        <f>C128+D128+E128+F128</f>
        <v/>
      </c>
      <c r="H128" s="6" t="n">
        <v>0</v>
      </c>
      <c r="I128" s="31" t="n">
        <v>0</v>
      </c>
      <c r="J128" s="6" t="n">
        <v>0</v>
      </c>
      <c r="K128" s="12" t="n">
        <v>0</v>
      </c>
      <c r="L128" s="6" t="n">
        <v>79</v>
      </c>
      <c r="N128" s="18" t="n">
        <v>0</v>
      </c>
      <c r="O128" s="18" t="n">
        <v>0.141044</v>
      </c>
      <c r="P128" s="18" t="n">
        <v>0.116093</v>
      </c>
      <c r="Q128" s="18" t="n">
        <v>0.6349359999999999</v>
      </c>
    </row>
    <row r="129">
      <c r="A129" s="30" t="n">
        <v>4305959</v>
      </c>
      <c r="B129" s="5" t="inlineStr">
        <is>
          <t>Cotiporã</t>
        </is>
      </c>
      <c r="C129" s="19">
        <f>N129</f>
        <v/>
      </c>
      <c r="D129" s="19">
        <f>O129</f>
        <v/>
      </c>
      <c r="E129" s="19">
        <f>P129</f>
        <v/>
      </c>
      <c r="F129" s="19">
        <f>Q129</f>
        <v/>
      </c>
      <c r="G129" s="19">
        <f>C129+D129+E129+F129</f>
        <v/>
      </c>
      <c r="H129" s="6" t="n">
        <v>0</v>
      </c>
      <c r="I129" s="31" t="n">
        <v>0</v>
      </c>
      <c r="J129" s="6" t="n">
        <v>0</v>
      </c>
      <c r="K129" s="12" t="n">
        <v>0</v>
      </c>
      <c r="L129" s="6" t="n">
        <v>100.3</v>
      </c>
      <c r="N129" s="18" t="n">
        <v>0</v>
      </c>
      <c r="O129" s="18" t="n">
        <v>0.50603</v>
      </c>
      <c r="P129" s="18" t="n">
        <v>0.285359</v>
      </c>
      <c r="Q129" s="18" t="n">
        <v>0.818968</v>
      </c>
    </row>
    <row r="130">
      <c r="A130" s="30" t="n">
        <v>4305975</v>
      </c>
      <c r="B130" s="5" t="inlineStr">
        <is>
          <t>Coxilha</t>
        </is>
      </c>
      <c r="C130" s="19">
        <f>N130</f>
        <v/>
      </c>
      <c r="D130" s="19">
        <f>O130</f>
        <v/>
      </c>
      <c r="E130" s="19">
        <f>P130</f>
        <v/>
      </c>
      <c r="F130" s="19">
        <f>Q130</f>
        <v/>
      </c>
      <c r="G130" s="19">
        <f>C130+D130+E130+F130</f>
        <v/>
      </c>
      <c r="H130" s="6" t="n">
        <v>0</v>
      </c>
      <c r="I130" s="31" t="n">
        <v>0</v>
      </c>
      <c r="J130" s="6" t="n">
        <v>0</v>
      </c>
      <c r="K130" s="12" t="n">
        <v>0</v>
      </c>
      <c r="L130" s="6" t="n">
        <v>169.2</v>
      </c>
      <c r="N130" s="18" t="n">
        <v>0</v>
      </c>
      <c r="O130" s="18" t="n">
        <v>0.115786</v>
      </c>
      <c r="P130" s="18" t="n">
        <v>0.121156</v>
      </c>
      <c r="Q130" s="18" t="n">
        <v>0.216799</v>
      </c>
    </row>
    <row r="131">
      <c r="A131" s="30" t="n">
        <v>4306007</v>
      </c>
      <c r="B131" s="5" t="inlineStr">
        <is>
          <t>Crissiumal</t>
        </is>
      </c>
      <c r="C131" s="19">
        <f>N131</f>
        <v/>
      </c>
      <c r="D131" s="19">
        <f>O131</f>
        <v/>
      </c>
      <c r="E131" s="19">
        <f>P131</f>
        <v/>
      </c>
      <c r="F131" s="19">
        <f>Q131</f>
        <v/>
      </c>
      <c r="G131" s="19">
        <f>C131+D131+E131+F131</f>
        <v/>
      </c>
      <c r="H131" s="6" t="n">
        <v>0</v>
      </c>
      <c r="I131" s="31" t="n">
        <v>0</v>
      </c>
      <c r="J131" s="6" t="n">
        <v>800</v>
      </c>
      <c r="K131" s="12" t="n">
        <v>6.88</v>
      </c>
      <c r="L131" s="6" t="n">
        <v>293</v>
      </c>
      <c r="N131" s="18" t="n">
        <v>0.133886</v>
      </c>
      <c r="O131" s="18" t="n">
        <v>0</v>
      </c>
      <c r="P131" s="18" t="n">
        <v>0</v>
      </c>
      <c r="Q131" s="18" t="n">
        <v>0.033581</v>
      </c>
    </row>
    <row r="132">
      <c r="A132" s="30" t="n">
        <v>4306056</v>
      </c>
      <c r="B132" s="5" t="inlineStr">
        <is>
          <t>Cristal</t>
        </is>
      </c>
      <c r="C132" s="19">
        <f>N132</f>
        <v/>
      </c>
      <c r="D132" s="19">
        <f>O132</f>
        <v/>
      </c>
      <c r="E132" s="19">
        <f>P132</f>
        <v/>
      </c>
      <c r="F132" s="19">
        <f>Q132</f>
        <v/>
      </c>
      <c r="G132" s="19">
        <f>C132+D132+E132+F132</f>
        <v/>
      </c>
      <c r="H132" s="6" t="n">
        <v>0</v>
      </c>
      <c r="I132" s="31" t="n">
        <v>0</v>
      </c>
      <c r="J132" s="6" t="n">
        <v>2275</v>
      </c>
      <c r="K132" s="12" t="n">
        <v>19.565</v>
      </c>
      <c r="L132" s="6" t="n">
        <v>155.5</v>
      </c>
      <c r="N132" s="18" t="n">
        <v>0.380738</v>
      </c>
      <c r="O132" s="18" t="n">
        <v>0.146387</v>
      </c>
      <c r="P132" s="18" t="n">
        <v>0.432679</v>
      </c>
      <c r="Q132" s="18" t="n">
        <v>0.361535</v>
      </c>
    </row>
    <row r="133">
      <c r="A133" s="30" t="n">
        <v>4306072</v>
      </c>
      <c r="B133" s="5" t="inlineStr">
        <is>
          <t>Cristal do Sul</t>
        </is>
      </c>
      <c r="C133" s="19">
        <f>N133</f>
        <v/>
      </c>
      <c r="D133" s="19">
        <f>O133</f>
        <v/>
      </c>
      <c r="E133" s="19">
        <f>P133</f>
        <v/>
      </c>
      <c r="F133" s="19">
        <f>Q133</f>
        <v/>
      </c>
      <c r="G133" s="19">
        <f>C133+D133+E133+F133</f>
        <v/>
      </c>
      <c r="H133" s="6" t="n">
        <v>0</v>
      </c>
      <c r="I133" s="31" t="n">
        <v>0</v>
      </c>
      <c r="J133" s="6" t="n">
        <v>0</v>
      </c>
      <c r="K133" s="12" t="n">
        <v>0</v>
      </c>
      <c r="L133" s="6" t="n">
        <v>258.8</v>
      </c>
      <c r="N133" s="18" t="n">
        <v>0</v>
      </c>
      <c r="O133" s="18" t="n">
        <v>0.013771</v>
      </c>
      <c r="P133" s="18" t="n">
        <v>0.02426</v>
      </c>
      <c r="Q133" s="18" t="n">
        <v>0.036022</v>
      </c>
    </row>
    <row r="134">
      <c r="A134" s="30" t="n">
        <v>4306106</v>
      </c>
      <c r="B134" s="5" t="inlineStr">
        <is>
          <t>Cruz Alta</t>
        </is>
      </c>
      <c r="C134" s="19">
        <f>N134</f>
        <v/>
      </c>
      <c r="D134" s="19">
        <f>O134</f>
        <v/>
      </c>
      <c r="E134" s="19">
        <f>P134</f>
        <v/>
      </c>
      <c r="F134" s="19">
        <f>Q134</f>
        <v/>
      </c>
      <c r="G134" s="19">
        <f>C134+D134+E134+F134</f>
        <v/>
      </c>
      <c r="H134" s="6" t="n">
        <v>0</v>
      </c>
      <c r="I134" s="31" t="n">
        <v>0</v>
      </c>
      <c r="J134" s="6" t="n">
        <v>8</v>
      </c>
      <c r="K134" s="12" t="n">
        <v>0.06900000000000001</v>
      </c>
      <c r="L134" s="6" t="n">
        <v>153.5</v>
      </c>
      <c r="N134" s="18" t="n">
        <v>0.001339</v>
      </c>
      <c r="O134" s="18" t="n">
        <v>1.132293</v>
      </c>
      <c r="P134" s="18" t="n">
        <v>0.9136339999999999</v>
      </c>
      <c r="Q134" s="18" t="n">
        <v>0.6634679999999999</v>
      </c>
    </row>
    <row r="135">
      <c r="A135" s="30" t="n">
        <v>4306130</v>
      </c>
      <c r="B135" s="5" t="inlineStr">
        <is>
          <t>Cruzaltense</t>
        </is>
      </c>
      <c r="C135" s="19">
        <f>N135</f>
        <v/>
      </c>
      <c r="D135" s="19">
        <f>O135</f>
        <v/>
      </c>
      <c r="E135" s="19">
        <f>P135</f>
        <v/>
      </c>
      <c r="F135" s="19">
        <f>Q135</f>
        <v/>
      </c>
      <c r="G135" s="19">
        <f>C135+D135+E135+F135</f>
        <v/>
      </c>
      <c r="H135" s="6" t="n">
        <v>0</v>
      </c>
      <c r="I135" s="31" t="n">
        <v>0</v>
      </c>
      <c r="J135" s="6" t="n">
        <v>0</v>
      </c>
      <c r="K135" s="12" t="n">
        <v>0</v>
      </c>
      <c r="L135" s="6" t="n">
        <v>225</v>
      </c>
      <c r="N135" s="18" t="n">
        <v>0</v>
      </c>
      <c r="O135" s="18" t="n">
        <v>0.000206</v>
      </c>
      <c r="P135" s="18" t="n">
        <v>0.035232</v>
      </c>
      <c r="Q135" s="18" t="n">
        <v>0.051413</v>
      </c>
    </row>
    <row r="136">
      <c r="A136" s="30" t="n">
        <v>4306205</v>
      </c>
      <c r="B136" s="5" t="inlineStr">
        <is>
          <t>Cruzeiro do Sul</t>
        </is>
      </c>
      <c r="C136" s="19">
        <f>N136</f>
        <v/>
      </c>
      <c r="D136" s="19">
        <f>O136</f>
        <v/>
      </c>
      <c r="E136" s="19">
        <f>P136</f>
        <v/>
      </c>
      <c r="F136" s="19">
        <f>Q136</f>
        <v/>
      </c>
      <c r="G136" s="19">
        <f>C136+D136+E136+F136</f>
        <v/>
      </c>
      <c r="H136" s="6" t="n">
        <v>0</v>
      </c>
      <c r="I136" s="31" t="n">
        <v>0</v>
      </c>
      <c r="J136" s="6" t="n">
        <v>219</v>
      </c>
      <c r="K136" s="12" t="n">
        <v>1.883</v>
      </c>
      <c r="L136" s="6" t="n">
        <v>38</v>
      </c>
      <c r="N136" s="18" t="n">
        <v>0.036651</v>
      </c>
      <c r="O136" s="18" t="n">
        <v>17.847698</v>
      </c>
      <c r="P136" s="18" t="n">
        <v>1.549436</v>
      </c>
      <c r="Q136" s="18" t="n">
        <v>2.388771</v>
      </c>
    </row>
    <row r="137">
      <c r="A137" s="30" t="n">
        <v>4306304</v>
      </c>
      <c r="B137" s="5" t="inlineStr">
        <is>
          <t>David Canabarro</t>
        </is>
      </c>
      <c r="C137" s="19">
        <f>N137</f>
        <v/>
      </c>
      <c r="D137" s="19">
        <f>O137</f>
        <v/>
      </c>
      <c r="E137" s="19">
        <f>P137</f>
        <v/>
      </c>
      <c r="F137" s="19">
        <f>Q137</f>
        <v/>
      </c>
      <c r="G137" s="19">
        <f>C137+D137+E137+F137</f>
        <v/>
      </c>
      <c r="H137" s="6" t="n">
        <v>0</v>
      </c>
      <c r="I137" s="31" t="n">
        <v>0</v>
      </c>
      <c r="J137" s="6" t="n">
        <v>810</v>
      </c>
      <c r="K137" s="12" t="n">
        <v>6.966</v>
      </c>
      <c r="L137" s="6" t="n">
        <v>148.2</v>
      </c>
      <c r="N137" s="18" t="n">
        <v>0.13556</v>
      </c>
      <c r="O137" s="18" t="n">
        <v>0.160611</v>
      </c>
      <c r="P137" s="18" t="n">
        <v>0.230947</v>
      </c>
      <c r="Q137" s="18" t="n">
        <v>0.439523</v>
      </c>
    </row>
    <row r="138">
      <c r="A138" s="30" t="n">
        <v>4306320</v>
      </c>
      <c r="B138" s="5" t="inlineStr">
        <is>
          <t>Derrubadas</t>
        </is>
      </c>
      <c r="C138" s="19">
        <f>N138</f>
        <v/>
      </c>
      <c r="D138" s="19">
        <f>O138</f>
        <v/>
      </c>
      <c r="E138" s="19">
        <f>P138</f>
        <v/>
      </c>
      <c r="F138" s="19">
        <f>Q138</f>
        <v/>
      </c>
      <c r="G138" s="19">
        <f>C138+D138+E138+F138</f>
        <v/>
      </c>
      <c r="H138" s="6" t="n">
        <v>0</v>
      </c>
      <c r="I138" s="31" t="n">
        <v>0</v>
      </c>
      <c r="J138" s="6" t="n">
        <v>108</v>
      </c>
      <c r="K138" s="12" t="n">
        <v>0.929</v>
      </c>
      <c r="L138" s="6" t="n">
        <v>303.8</v>
      </c>
      <c r="N138" s="18" t="n">
        <v>0.018075</v>
      </c>
      <c r="O138" s="18" t="n">
        <v>0</v>
      </c>
      <c r="P138" s="18" t="n">
        <v>0</v>
      </c>
      <c r="Q138" s="18" t="n">
        <v>0.015193</v>
      </c>
    </row>
    <row r="139">
      <c r="A139" s="30" t="n">
        <v>4306353</v>
      </c>
      <c r="B139" s="5" t="inlineStr">
        <is>
          <t>Dezesseis de Novembro</t>
        </is>
      </c>
      <c r="C139" s="19">
        <f>N139</f>
        <v/>
      </c>
      <c r="D139" s="19">
        <f>O139</f>
        <v/>
      </c>
      <c r="E139" s="19">
        <f>P139</f>
        <v/>
      </c>
      <c r="F139" s="19">
        <f>Q139</f>
        <v/>
      </c>
      <c r="G139" s="19">
        <f>C139+D139+E139+F139</f>
        <v/>
      </c>
      <c r="H139" s="6" t="n">
        <v>0</v>
      </c>
      <c r="I139" s="31" t="n">
        <v>0</v>
      </c>
      <c r="J139" s="6" t="n">
        <v>0</v>
      </c>
      <c r="K139" s="12" t="n">
        <v>0</v>
      </c>
      <c r="L139" s="6" t="n">
        <v>305.6</v>
      </c>
      <c r="N139" s="18" t="n">
        <v>0</v>
      </c>
      <c r="O139" s="18" t="n">
        <v>0</v>
      </c>
      <c r="P139" s="18" t="n">
        <v>0</v>
      </c>
      <c r="Q139" s="18" t="n">
        <v>0.007409</v>
      </c>
    </row>
    <row r="140">
      <c r="A140" s="30" t="n">
        <v>4306379</v>
      </c>
      <c r="B140" s="5" t="inlineStr">
        <is>
          <t>Dilermando de Aguiar</t>
        </is>
      </c>
      <c r="C140" s="19">
        <f>N140</f>
        <v/>
      </c>
      <c r="D140" s="19">
        <f>O140</f>
        <v/>
      </c>
      <c r="E140" s="19">
        <f>P140</f>
        <v/>
      </c>
      <c r="F140" s="19">
        <f>Q140</f>
        <v/>
      </c>
      <c r="G140" s="19">
        <f>C140+D140+E140+F140</f>
        <v/>
      </c>
      <c r="H140" s="6" t="n">
        <v>0</v>
      </c>
      <c r="I140" s="31" t="n">
        <v>0</v>
      </c>
      <c r="J140" s="6" t="n">
        <v>13</v>
      </c>
      <c r="K140" s="12" t="n">
        <v>0.112</v>
      </c>
      <c r="L140" s="6" t="n">
        <v>170.8</v>
      </c>
      <c r="N140" s="18" t="n">
        <v>0.002176</v>
      </c>
      <c r="O140" s="18" t="n">
        <v>0.002845</v>
      </c>
      <c r="P140" s="18" t="n">
        <v>0.07140100000000001</v>
      </c>
      <c r="Q140" s="18" t="n">
        <v>0.08069800000000001</v>
      </c>
    </row>
    <row r="141">
      <c r="A141" s="30" t="n">
        <v>4306403</v>
      </c>
      <c r="B141" s="5" t="inlineStr">
        <is>
          <t>Dois Irmãos</t>
        </is>
      </c>
      <c r="C141" s="19">
        <f>N141</f>
        <v/>
      </c>
      <c r="D141" s="19">
        <f>O141</f>
        <v/>
      </c>
      <c r="E141" s="19">
        <f>P141</f>
        <v/>
      </c>
      <c r="F141" s="19">
        <f>Q141</f>
        <v/>
      </c>
      <c r="G141" s="19">
        <f>C141+D141+E141+F141</f>
        <v/>
      </c>
      <c r="H141" s="6" t="n">
        <v>0</v>
      </c>
      <c r="I141" s="31" t="n">
        <v>0</v>
      </c>
      <c r="J141" s="6" t="n">
        <v>0</v>
      </c>
      <c r="K141" s="12" t="n">
        <v>0</v>
      </c>
      <c r="L141" s="6" t="n">
        <v>127.6</v>
      </c>
      <c r="N141" s="18" t="n">
        <v>0</v>
      </c>
      <c r="O141" s="18" t="n">
        <v>6.852651</v>
      </c>
      <c r="P141" s="18" t="n">
        <v>0.892664</v>
      </c>
      <c r="Q141" s="18" t="n">
        <v>2.89973</v>
      </c>
    </row>
    <row r="142">
      <c r="A142" s="30" t="n">
        <v>4306429</v>
      </c>
      <c r="B142" s="5" t="inlineStr">
        <is>
          <t>Dois Irmãos das Missões</t>
        </is>
      </c>
      <c r="C142" s="19">
        <f>N142</f>
        <v/>
      </c>
      <c r="D142" s="19">
        <f>O142</f>
        <v/>
      </c>
      <c r="E142" s="19">
        <f>P142</f>
        <v/>
      </c>
      <c r="F142" s="19">
        <f>Q142</f>
        <v/>
      </c>
      <c r="G142" s="19">
        <f>C142+D142+E142+F142</f>
        <v/>
      </c>
      <c r="H142" s="6" t="n">
        <v>0</v>
      </c>
      <c r="I142" s="31" t="n">
        <v>0</v>
      </c>
      <c r="J142" s="6" t="n">
        <v>0</v>
      </c>
      <c r="K142" s="12" t="n">
        <v>0</v>
      </c>
      <c r="L142" s="6" t="n">
        <v>242.9</v>
      </c>
      <c r="N142" s="18" t="n">
        <v>0</v>
      </c>
      <c r="O142" s="18" t="n">
        <v>0.000194</v>
      </c>
      <c r="P142" s="18" t="n">
        <v>0.029231</v>
      </c>
      <c r="Q142" s="18" t="n">
        <v>0.034821</v>
      </c>
    </row>
    <row r="143">
      <c r="A143" s="30" t="n">
        <v>4306452</v>
      </c>
      <c r="B143" s="5" t="inlineStr">
        <is>
          <t>Dois Lajeados</t>
        </is>
      </c>
      <c r="C143" s="19">
        <f>N143</f>
        <v/>
      </c>
      <c r="D143" s="19">
        <f>O143</f>
        <v/>
      </c>
      <c r="E143" s="19">
        <f>P143</f>
        <v/>
      </c>
      <c r="F143" s="19">
        <f>Q143</f>
        <v/>
      </c>
      <c r="G143" s="19">
        <f>C143+D143+E143+F143</f>
        <v/>
      </c>
      <c r="H143" s="6" t="n">
        <v>0</v>
      </c>
      <c r="I143" s="31" t="n">
        <v>0</v>
      </c>
      <c r="J143" s="6" t="n">
        <v>69</v>
      </c>
      <c r="K143" s="12" t="n">
        <v>0.593</v>
      </c>
      <c r="L143" s="6" t="n">
        <v>92.2</v>
      </c>
      <c r="N143" s="18" t="n">
        <v>0.011548</v>
      </c>
      <c r="O143" s="18" t="n">
        <v>0.486511</v>
      </c>
      <c r="P143" s="18" t="n">
        <v>0.31118</v>
      </c>
      <c r="Q143" s="18" t="n">
        <v>0.711712</v>
      </c>
    </row>
    <row r="144">
      <c r="A144" s="30" t="n">
        <v>4306502</v>
      </c>
      <c r="B144" s="5" t="inlineStr">
        <is>
          <t>Dom Feliciano</t>
        </is>
      </c>
      <c r="C144" s="19">
        <f>N144</f>
        <v/>
      </c>
      <c r="D144" s="19">
        <f>O144</f>
        <v/>
      </c>
      <c r="E144" s="19">
        <f>P144</f>
        <v/>
      </c>
      <c r="F144" s="19">
        <f>Q144</f>
        <v/>
      </c>
      <c r="G144" s="19">
        <f>C144+D144+E144+F144</f>
        <v/>
      </c>
      <c r="H144" s="6" t="n">
        <v>0</v>
      </c>
      <c r="I144" s="31" t="n">
        <v>0</v>
      </c>
      <c r="J144" s="6" t="n">
        <v>13275</v>
      </c>
      <c r="K144" s="12" t="n">
        <v>114.165</v>
      </c>
      <c r="L144" s="6" t="n">
        <v>108.2</v>
      </c>
      <c r="N144" s="18" t="n">
        <v>2.221672</v>
      </c>
      <c r="O144" s="18" t="n">
        <v>0.155043</v>
      </c>
      <c r="P144" s="18" t="n">
        <v>0.392195</v>
      </c>
      <c r="Q144" s="18" t="n">
        <v>0.8113669999999999</v>
      </c>
    </row>
    <row r="145">
      <c r="A145" s="30" t="n">
        <v>4306551</v>
      </c>
      <c r="B145" s="5" t="inlineStr">
        <is>
          <t>Dom Pedro de Alcântara</t>
        </is>
      </c>
      <c r="C145" s="19">
        <f>N145</f>
        <v/>
      </c>
      <c r="D145" s="19">
        <f>O145</f>
        <v/>
      </c>
      <c r="E145" s="19">
        <f>P145</f>
        <v/>
      </c>
      <c r="F145" s="19">
        <f>Q145</f>
        <v/>
      </c>
      <c r="G145" s="19">
        <f>C145+D145+E145+F145</f>
        <v/>
      </c>
      <c r="H145" s="6" t="n">
        <v>0</v>
      </c>
      <c r="I145" s="31" t="n">
        <v>0</v>
      </c>
      <c r="J145" s="6" t="n">
        <v>0</v>
      </c>
      <c r="K145" s="12" t="n">
        <v>0</v>
      </c>
      <c r="L145" s="6" t="n">
        <v>249.1</v>
      </c>
      <c r="N145" s="18" t="n">
        <v>0</v>
      </c>
      <c r="O145" s="18" t="n">
        <v>0.040524</v>
      </c>
      <c r="P145" s="18" t="n">
        <v>0.039268</v>
      </c>
      <c r="Q145" s="18" t="n">
        <v>0.187626</v>
      </c>
    </row>
    <row r="146">
      <c r="A146" s="30" t="n">
        <v>4306601</v>
      </c>
      <c r="B146" s="5" t="inlineStr">
        <is>
          <t>Dom Pedrito</t>
        </is>
      </c>
      <c r="C146" s="19">
        <f>N146</f>
        <v/>
      </c>
      <c r="D146" s="19">
        <f>O146</f>
        <v/>
      </c>
      <c r="E146" s="19">
        <f>P146</f>
        <v/>
      </c>
      <c r="F146" s="19">
        <f>Q146</f>
        <v/>
      </c>
      <c r="G146" s="19">
        <f>C146+D146+E146+F146</f>
        <v/>
      </c>
      <c r="H146" s="6" t="n">
        <v>0</v>
      </c>
      <c r="I146" s="31" t="n">
        <v>0</v>
      </c>
      <c r="J146" s="6" t="n">
        <v>0</v>
      </c>
      <c r="K146" s="12" t="n">
        <v>0</v>
      </c>
      <c r="L146" s="6" t="n">
        <v>267.5</v>
      </c>
      <c r="N146" s="18" t="n">
        <v>0</v>
      </c>
      <c r="O146" s="18" t="n">
        <v>0</v>
      </c>
      <c r="P146" s="18" t="n">
        <v>0</v>
      </c>
      <c r="Q146" s="18" t="n">
        <v>0.017787</v>
      </c>
    </row>
    <row r="147">
      <c r="A147" s="30" t="n">
        <v>4306700</v>
      </c>
      <c r="B147" s="5" t="inlineStr">
        <is>
          <t>Dona Francisca</t>
        </is>
      </c>
      <c r="C147" s="19">
        <f>N147</f>
        <v/>
      </c>
      <c r="D147" s="19">
        <f>O147</f>
        <v/>
      </c>
      <c r="E147" s="19">
        <f>P147</f>
        <v/>
      </c>
      <c r="F147" s="19">
        <f>Q147</f>
        <v/>
      </c>
      <c r="G147" s="19">
        <f>C147+D147+E147+F147</f>
        <v/>
      </c>
      <c r="H147" s="6" t="n">
        <v>0</v>
      </c>
      <c r="I147" s="31" t="n">
        <v>0</v>
      </c>
      <c r="J147" s="6" t="n">
        <v>437</v>
      </c>
      <c r="K147" s="12" t="n">
        <v>3.758</v>
      </c>
      <c r="L147" s="6" t="n">
        <v>91.40000000000001</v>
      </c>
      <c r="N147" s="18" t="n">
        <v>0.07313500000000001</v>
      </c>
      <c r="O147" s="18" t="n">
        <v>0.223882</v>
      </c>
      <c r="P147" s="18" t="n">
        <v>0.176378</v>
      </c>
      <c r="Q147" s="18" t="n">
        <v>0.310067</v>
      </c>
    </row>
    <row r="148">
      <c r="A148" s="30" t="n">
        <v>4306734</v>
      </c>
      <c r="B148" s="5" t="inlineStr">
        <is>
          <t>Doutor Maurício Cardoso</t>
        </is>
      </c>
      <c r="C148" s="19">
        <f>N148</f>
        <v/>
      </c>
      <c r="D148" s="19">
        <f>O148</f>
        <v/>
      </c>
      <c r="E148" s="19">
        <f>P148</f>
        <v/>
      </c>
      <c r="F148" s="19">
        <f>Q148</f>
        <v/>
      </c>
      <c r="G148" s="19">
        <f>C148+D148+E148+F148</f>
        <v/>
      </c>
      <c r="H148" s="6" t="n">
        <v>0</v>
      </c>
      <c r="I148" s="31" t="n">
        <v>0</v>
      </c>
      <c r="J148" s="6" t="n">
        <v>360</v>
      </c>
      <c r="K148" s="12" t="n">
        <v>3.096</v>
      </c>
      <c r="L148" s="6" t="n">
        <v>306.7</v>
      </c>
      <c r="N148" s="18" t="n">
        <v>0.060249</v>
      </c>
      <c r="O148" s="18" t="n">
        <v>0</v>
      </c>
      <c r="P148" s="18" t="n">
        <v>0</v>
      </c>
      <c r="Q148" s="18" t="n">
        <v>0.015074</v>
      </c>
    </row>
    <row r="149">
      <c r="A149" s="30" t="n">
        <v>4306759</v>
      </c>
      <c r="B149" s="5" t="inlineStr">
        <is>
          <t>Doutor Ricardo</t>
        </is>
      </c>
      <c r="C149" s="19">
        <f>N149</f>
        <v/>
      </c>
      <c r="D149" s="19">
        <f>O149</f>
        <v/>
      </c>
      <c r="E149" s="19">
        <f>P149</f>
        <v/>
      </c>
      <c r="F149" s="19">
        <f>Q149</f>
        <v/>
      </c>
      <c r="G149" s="19">
        <f>C149+D149+E149+F149</f>
        <v/>
      </c>
      <c r="H149" s="6" t="n">
        <v>0</v>
      </c>
      <c r="I149" s="31" t="n">
        <v>0</v>
      </c>
      <c r="J149" s="6" t="n">
        <v>409</v>
      </c>
      <c r="K149" s="12" t="n">
        <v>3.517</v>
      </c>
      <c r="L149" s="6" t="n">
        <v>74.3</v>
      </c>
      <c r="N149" s="18" t="n">
        <v>0.068449</v>
      </c>
      <c r="O149" s="18" t="n">
        <v>0.405675</v>
      </c>
      <c r="P149" s="18" t="n">
        <v>0.198085</v>
      </c>
      <c r="Q149" s="18" t="n">
        <v>0.591749</v>
      </c>
    </row>
    <row r="150">
      <c r="A150" s="30" t="n">
        <v>4306767</v>
      </c>
      <c r="B150" s="5" t="inlineStr">
        <is>
          <t>Eldorado do Sul</t>
        </is>
      </c>
      <c r="C150" s="19">
        <f>N150</f>
        <v/>
      </c>
      <c r="D150" s="19">
        <f>O150</f>
        <v/>
      </c>
      <c r="E150" s="19">
        <f>P150</f>
        <v/>
      </c>
      <c r="F150" s="19">
        <f>Q150</f>
        <v/>
      </c>
      <c r="G150" s="19">
        <f>C150+D150+E150+F150</f>
        <v/>
      </c>
      <c r="H150" s="6" t="n">
        <v>0</v>
      </c>
      <c r="I150" s="31" t="n">
        <v>0</v>
      </c>
      <c r="J150" s="6" t="n">
        <v>14</v>
      </c>
      <c r="K150" s="12" t="n">
        <v>0.12</v>
      </c>
      <c r="L150" s="6" t="n">
        <v>99.90000000000001</v>
      </c>
      <c r="N150" s="18" t="n">
        <v>0.002343</v>
      </c>
      <c r="O150" s="18" t="n">
        <v>72.07241999999999</v>
      </c>
      <c r="P150" s="18" t="n">
        <v>2.068646</v>
      </c>
      <c r="Q150" s="18" t="n">
        <v>3.193167</v>
      </c>
    </row>
    <row r="151">
      <c r="A151" s="30" t="n">
        <v>4306809</v>
      </c>
      <c r="B151" s="5" t="inlineStr">
        <is>
          <t>Encantado</t>
        </is>
      </c>
      <c r="C151" s="19">
        <f>N151</f>
        <v/>
      </c>
      <c r="D151" s="19">
        <f>O151</f>
        <v/>
      </c>
      <c r="E151" s="19">
        <f>P151</f>
        <v/>
      </c>
      <c r="F151" s="19">
        <f>Q151</f>
        <v/>
      </c>
      <c r="G151" s="19">
        <f>C151+D151+E151+F151</f>
        <v/>
      </c>
      <c r="H151" s="6" t="n">
        <v>0</v>
      </c>
      <c r="I151" s="31" t="n">
        <v>0</v>
      </c>
      <c r="J151" s="6" t="n">
        <v>0</v>
      </c>
      <c r="K151" s="12" t="n">
        <v>0</v>
      </c>
      <c r="L151" s="6" t="n">
        <v>67.2</v>
      </c>
      <c r="N151" s="18" t="n">
        <v>0</v>
      </c>
      <c r="O151" s="18" t="n">
        <v>3.407171</v>
      </c>
      <c r="P151" s="18" t="n">
        <v>1.64561</v>
      </c>
      <c r="Q151" s="18" t="n">
        <v>2.385092</v>
      </c>
    </row>
    <row r="152">
      <c r="A152" s="30" t="n">
        <v>4306908</v>
      </c>
      <c r="B152" s="5" t="inlineStr">
        <is>
          <t>Encruzilhada do Sul</t>
        </is>
      </c>
      <c r="C152" s="19">
        <f>N152</f>
        <v/>
      </c>
      <c r="D152" s="19">
        <f>O152</f>
        <v/>
      </c>
      <c r="E152" s="19">
        <f>P152</f>
        <v/>
      </c>
      <c r="F152" s="19">
        <f>Q152</f>
        <v/>
      </c>
      <c r="G152" s="19">
        <f>C152+D152+E152+F152</f>
        <v/>
      </c>
      <c r="H152" s="6" t="n">
        <v>0</v>
      </c>
      <c r="I152" s="31" t="n">
        <v>1</v>
      </c>
      <c r="J152" s="6" t="n">
        <v>521</v>
      </c>
      <c r="K152" s="12" t="n">
        <v>4.481</v>
      </c>
      <c r="L152" s="6" t="n">
        <v>112.1</v>
      </c>
      <c r="N152" s="18" t="n">
        <v>0.08719300000000001</v>
      </c>
      <c r="O152" s="18" t="n">
        <v>0.821028</v>
      </c>
      <c r="P152" s="18" t="n">
        <v>0.580694</v>
      </c>
      <c r="Q152" s="18" t="n">
        <v>0.736374</v>
      </c>
    </row>
    <row r="153">
      <c r="A153" s="30" t="n">
        <v>4306924</v>
      </c>
      <c r="B153" s="5" t="inlineStr">
        <is>
          <t>Engenho Velho</t>
        </is>
      </c>
      <c r="C153" s="19">
        <f>N153</f>
        <v/>
      </c>
      <c r="D153" s="19">
        <f>O153</f>
        <v/>
      </c>
      <c r="E153" s="19">
        <f>P153</f>
        <v/>
      </c>
      <c r="F153" s="19">
        <f>Q153</f>
        <v/>
      </c>
      <c r="G153" s="19">
        <f>C153+D153+E153+F153</f>
        <v/>
      </c>
      <c r="H153" s="6" t="n">
        <v>0</v>
      </c>
      <c r="I153" s="31" t="n">
        <v>0</v>
      </c>
      <c r="J153" s="6" t="n">
        <v>0</v>
      </c>
      <c r="K153" s="12" t="n">
        <v>0</v>
      </c>
      <c r="L153" s="6" t="n">
        <v>222.9</v>
      </c>
      <c r="N153" s="18" t="n">
        <v>0</v>
      </c>
      <c r="O153" s="18" t="n">
        <v>0.023209</v>
      </c>
      <c r="P153" s="18" t="n">
        <v>0.028004</v>
      </c>
      <c r="Q153" s="18" t="n">
        <v>0.04329</v>
      </c>
    </row>
    <row r="154">
      <c r="A154" s="30" t="n">
        <v>4306932</v>
      </c>
      <c r="B154" s="5" t="inlineStr">
        <is>
          <t>Entre-Ijuís</t>
        </is>
      </c>
      <c r="C154" s="19">
        <f>N154</f>
        <v/>
      </c>
      <c r="D154" s="19">
        <f>O154</f>
        <v/>
      </c>
      <c r="E154" s="19">
        <f>P154</f>
        <v/>
      </c>
      <c r="F154" s="19">
        <f>Q154</f>
        <v/>
      </c>
      <c r="G154" s="19">
        <f>C154+D154+E154+F154</f>
        <v/>
      </c>
      <c r="H154" s="6" t="n">
        <v>0</v>
      </c>
      <c r="I154" s="31" t="n">
        <v>0</v>
      </c>
      <c r="J154" s="6" t="n">
        <v>0</v>
      </c>
      <c r="K154" s="12" t="n">
        <v>0</v>
      </c>
      <c r="L154" s="6" t="n">
        <v>226.5</v>
      </c>
      <c r="N154" s="18" t="n">
        <v>0</v>
      </c>
      <c r="O154" s="18" t="n">
        <v>0.07117800000000001</v>
      </c>
      <c r="P154" s="18" t="n">
        <v>0.147723</v>
      </c>
      <c r="Q154" s="18" t="n">
        <v>0.056649</v>
      </c>
    </row>
    <row r="155">
      <c r="A155" s="30" t="n">
        <v>4306957</v>
      </c>
      <c r="B155" s="5" t="inlineStr">
        <is>
          <t>Entre Rios do Sul</t>
        </is>
      </c>
      <c r="C155" s="19">
        <f>N155</f>
        <v/>
      </c>
      <c r="D155" s="19">
        <f>O155</f>
        <v/>
      </c>
      <c r="E155" s="19">
        <f>P155</f>
        <v/>
      </c>
      <c r="F155" s="19">
        <f>Q155</f>
        <v/>
      </c>
      <c r="G155" s="19">
        <f>C155+D155+E155+F155</f>
        <v/>
      </c>
      <c r="H155" s="6" t="n">
        <v>0</v>
      </c>
      <c r="I155" s="31" t="n">
        <v>0</v>
      </c>
      <c r="J155" s="6" t="n">
        <v>0</v>
      </c>
      <c r="K155" s="12" t="n">
        <v>0</v>
      </c>
      <c r="L155" s="6" t="n">
        <v>237.9</v>
      </c>
      <c r="N155" s="18" t="n">
        <v>0</v>
      </c>
      <c r="O155" s="18" t="n">
        <v>0.05061</v>
      </c>
      <c r="P155" s="18" t="n">
        <v>0.053654</v>
      </c>
      <c r="Q155" s="18" t="n">
        <v>0.056811</v>
      </c>
    </row>
    <row r="156">
      <c r="A156" s="30" t="n">
        <v>4306973</v>
      </c>
      <c r="B156" s="5" t="inlineStr">
        <is>
          <t>Erebango</t>
        </is>
      </c>
      <c r="C156" s="19">
        <f>N156</f>
        <v/>
      </c>
      <c r="D156" s="19">
        <f>O156</f>
        <v/>
      </c>
      <c r="E156" s="19">
        <f>P156</f>
        <v/>
      </c>
      <c r="F156" s="19">
        <f>Q156</f>
        <v/>
      </c>
      <c r="G156" s="19">
        <f>C156+D156+E156+F156</f>
        <v/>
      </c>
      <c r="H156" s="6" t="n">
        <v>0</v>
      </c>
      <c r="I156" s="31" t="n">
        <v>0</v>
      </c>
      <c r="J156" s="6" t="n">
        <v>0</v>
      </c>
      <c r="K156" s="12" t="n">
        <v>0</v>
      </c>
      <c r="L156" s="6" t="n">
        <v>201.6</v>
      </c>
      <c r="N156" s="18" t="n">
        <v>0</v>
      </c>
      <c r="O156" s="18" t="n">
        <v>0.067633</v>
      </c>
      <c r="P156" s="18" t="n">
        <v>0.053452</v>
      </c>
      <c r="Q156" s="18" t="n">
        <v>0.113543</v>
      </c>
    </row>
    <row r="157">
      <c r="A157" s="30" t="n">
        <v>4307005</v>
      </c>
      <c r="B157" s="5" t="inlineStr">
        <is>
          <t>Erechim</t>
        </is>
      </c>
      <c r="C157" s="19">
        <f>N157</f>
        <v/>
      </c>
      <c r="D157" s="19">
        <f>O157</f>
        <v/>
      </c>
      <c r="E157" s="19">
        <f>P157</f>
        <v/>
      </c>
      <c r="F157" s="19">
        <f>Q157</f>
        <v/>
      </c>
      <c r="G157" s="19">
        <f>C157+D157+E157+F157</f>
        <v/>
      </c>
      <c r="H157" s="6" t="n">
        <v>0</v>
      </c>
      <c r="I157" s="31" t="n">
        <v>0</v>
      </c>
      <c r="J157" s="6" t="n">
        <v>0</v>
      </c>
      <c r="K157" s="12" t="n">
        <v>0</v>
      </c>
      <c r="L157" s="6" t="n">
        <v>222.5</v>
      </c>
      <c r="N157" s="18" t="n">
        <v>0</v>
      </c>
      <c r="O157" s="18" t="n">
        <v>8.773135</v>
      </c>
      <c r="P157" s="18" t="n">
        <v>0.750133</v>
      </c>
      <c r="Q157" s="18" t="n">
        <v>0.50895</v>
      </c>
    </row>
    <row r="158">
      <c r="A158" s="30" t="n">
        <v>4307054</v>
      </c>
      <c r="B158" s="5" t="inlineStr">
        <is>
          <t>Ernestina</t>
        </is>
      </c>
      <c r="C158" s="19">
        <f>N158</f>
        <v/>
      </c>
      <c r="D158" s="19">
        <f>O158</f>
        <v/>
      </c>
      <c r="E158" s="19">
        <f>P158</f>
        <v/>
      </c>
      <c r="F158" s="19">
        <f>Q158</f>
        <v/>
      </c>
      <c r="G158" s="19">
        <f>C158+D158+E158+F158</f>
        <v/>
      </c>
      <c r="H158" s="6" t="n">
        <v>0</v>
      </c>
      <c r="I158" s="31" t="n">
        <v>0</v>
      </c>
      <c r="J158" s="6" t="n">
        <v>0</v>
      </c>
      <c r="K158" s="12" t="n">
        <v>0</v>
      </c>
      <c r="L158" s="6" t="n">
        <v>136.6</v>
      </c>
      <c r="N158" s="18" t="n">
        <v>0</v>
      </c>
      <c r="O158" s="18" t="n">
        <v>0.135071</v>
      </c>
      <c r="P158" s="18" t="n">
        <v>0.237088</v>
      </c>
      <c r="Q158" s="18" t="n">
        <v>0.288404</v>
      </c>
    </row>
    <row r="159">
      <c r="A159" s="30" t="n">
        <v>4307104</v>
      </c>
      <c r="B159" s="5" t="inlineStr">
        <is>
          <t>Herval</t>
        </is>
      </c>
      <c r="C159" s="19">
        <f>N159</f>
        <v/>
      </c>
      <c r="D159" s="19">
        <f>O159</f>
        <v/>
      </c>
      <c r="E159" s="19">
        <f>P159</f>
        <v/>
      </c>
      <c r="F159" s="19">
        <f>Q159</f>
        <v/>
      </c>
      <c r="G159" s="19">
        <f>C159+D159+E159+F159</f>
        <v/>
      </c>
      <c r="H159" s="6" t="n">
        <v>0</v>
      </c>
      <c r="I159" s="31" t="n">
        <v>0</v>
      </c>
      <c r="J159" s="6" t="n">
        <v>0</v>
      </c>
      <c r="K159" s="12" t="n">
        <v>0</v>
      </c>
      <c r="L159" s="6" t="n">
        <v>280.1</v>
      </c>
      <c r="N159" s="18" t="n">
        <v>0</v>
      </c>
      <c r="O159" s="18" t="n">
        <v>0</v>
      </c>
      <c r="P159" s="18" t="n">
        <v>0</v>
      </c>
      <c r="Q159" s="18" t="n">
        <v>0.011355</v>
      </c>
    </row>
    <row r="160">
      <c r="A160" s="30" t="n">
        <v>4307203</v>
      </c>
      <c r="B160" s="5" t="inlineStr">
        <is>
          <t>Erval Grande</t>
        </is>
      </c>
      <c r="C160" s="19">
        <f>N160</f>
        <v/>
      </c>
      <c r="D160" s="19">
        <f>O160</f>
        <v/>
      </c>
      <c r="E160" s="19">
        <f>P160</f>
        <v/>
      </c>
      <c r="F160" s="19">
        <f>Q160</f>
        <v/>
      </c>
      <c r="G160" s="19">
        <f>C160+D160+E160+F160</f>
        <v/>
      </c>
      <c r="H160" s="6" t="n">
        <v>0</v>
      </c>
      <c r="I160" s="31" t="n">
        <v>0</v>
      </c>
      <c r="J160" s="6" t="n">
        <v>100</v>
      </c>
      <c r="K160" s="12" t="n">
        <v>0.86</v>
      </c>
      <c r="L160" s="6" t="n">
        <v>255</v>
      </c>
      <c r="N160" s="18" t="n">
        <v>0.016736</v>
      </c>
      <c r="O160" s="18" t="n">
        <v>0.055723</v>
      </c>
      <c r="P160" s="18" t="n">
        <v>0.061331</v>
      </c>
      <c r="Q160" s="18" t="n">
        <v>0.063016</v>
      </c>
    </row>
    <row r="161">
      <c r="A161" s="30" t="n">
        <v>4307302</v>
      </c>
      <c r="B161" s="5" t="inlineStr">
        <is>
          <t>Erval Seco</t>
        </is>
      </c>
      <c r="C161" s="19">
        <f>N161</f>
        <v/>
      </c>
      <c r="D161" s="19">
        <f>O161</f>
        <v/>
      </c>
      <c r="E161" s="19">
        <f>P161</f>
        <v/>
      </c>
      <c r="F161" s="19">
        <f>Q161</f>
        <v/>
      </c>
      <c r="G161" s="19">
        <f>C161+D161+E161+F161</f>
        <v/>
      </c>
      <c r="H161" s="6" t="n">
        <v>0</v>
      </c>
      <c r="I161" s="31" t="n">
        <v>0</v>
      </c>
      <c r="J161" s="6" t="n">
        <v>60</v>
      </c>
      <c r="K161" s="12" t="n">
        <v>0.516</v>
      </c>
      <c r="L161" s="6" t="n">
        <v>260.2</v>
      </c>
      <c r="N161" s="18" t="n">
        <v>0.010041</v>
      </c>
      <c r="O161" s="18" t="n">
        <v>0</v>
      </c>
      <c r="P161" s="18" t="n">
        <v>0</v>
      </c>
      <c r="Q161" s="18" t="n">
        <v>0.053201</v>
      </c>
    </row>
    <row r="162">
      <c r="A162" s="30" t="n">
        <v>4307401</v>
      </c>
      <c r="B162" s="5" t="inlineStr">
        <is>
          <t>Esmeralda</t>
        </is>
      </c>
      <c r="C162" s="19">
        <f>N162</f>
        <v/>
      </c>
      <c r="D162" s="19">
        <f>O162</f>
        <v/>
      </c>
      <c r="E162" s="19">
        <f>P162</f>
        <v/>
      </c>
      <c r="F162" s="19">
        <f>Q162</f>
        <v/>
      </c>
      <c r="G162" s="19">
        <f>C162+D162+E162+F162</f>
        <v/>
      </c>
      <c r="H162" s="6" t="n">
        <v>0</v>
      </c>
      <c r="I162" s="31" t="n">
        <v>0</v>
      </c>
      <c r="J162" s="6" t="n">
        <v>0</v>
      </c>
      <c r="K162" s="12" t="n">
        <v>0</v>
      </c>
      <c r="L162" s="6" t="n">
        <v>215.3</v>
      </c>
      <c r="N162" s="18" t="n">
        <v>0</v>
      </c>
      <c r="O162" s="18" t="n">
        <v>0.0009389999999999999</v>
      </c>
      <c r="P162" s="18" t="n">
        <v>0.07238700000000001</v>
      </c>
      <c r="Q162" s="18" t="n">
        <v>0.14524</v>
      </c>
    </row>
    <row r="163">
      <c r="A163" s="30" t="n">
        <v>4307450</v>
      </c>
      <c r="B163" s="5" t="inlineStr">
        <is>
          <t>Esperança do Sul</t>
        </is>
      </c>
      <c r="C163" s="19">
        <f>N163</f>
        <v/>
      </c>
      <c r="D163" s="19">
        <f>O163</f>
        <v/>
      </c>
      <c r="E163" s="19">
        <f>P163</f>
        <v/>
      </c>
      <c r="F163" s="19">
        <f>Q163</f>
        <v/>
      </c>
      <c r="G163" s="19">
        <f>C163+D163+E163+F163</f>
        <v/>
      </c>
      <c r="H163" s="6" t="n">
        <v>0</v>
      </c>
      <c r="I163" s="31" t="n">
        <v>0</v>
      </c>
      <c r="J163" s="6" t="n">
        <v>180</v>
      </c>
      <c r="K163" s="12" t="n">
        <v>1.548</v>
      </c>
      <c r="L163" s="6" t="n">
        <v>301</v>
      </c>
      <c r="N163" s="18" t="n">
        <v>0.030124</v>
      </c>
      <c r="O163" s="18" t="n">
        <v>0</v>
      </c>
      <c r="P163" s="18" t="n">
        <v>0</v>
      </c>
      <c r="Q163" s="18" t="n">
        <v>0.016663</v>
      </c>
    </row>
    <row r="164">
      <c r="A164" s="30" t="n">
        <v>4307500</v>
      </c>
      <c r="B164" s="5" t="inlineStr">
        <is>
          <t>Espumoso</t>
        </is>
      </c>
      <c r="C164" s="19">
        <f>N164</f>
        <v/>
      </c>
      <c r="D164" s="19">
        <f>O164</f>
        <v/>
      </c>
      <c r="E164" s="19">
        <f>P164</f>
        <v/>
      </c>
      <c r="F164" s="19">
        <f>Q164</f>
        <v/>
      </c>
      <c r="G164" s="19">
        <f>C164+D164+E164+F164</f>
        <v/>
      </c>
      <c r="H164" s="6" t="n">
        <v>0</v>
      </c>
      <c r="I164" s="31" t="n">
        <v>0</v>
      </c>
      <c r="J164" s="6" t="n">
        <v>6</v>
      </c>
      <c r="K164" s="12" t="n">
        <v>0.052</v>
      </c>
      <c r="L164" s="6" t="n">
        <v>95.8</v>
      </c>
      <c r="N164" s="18" t="n">
        <v>0.001004</v>
      </c>
      <c r="O164" s="18" t="n">
        <v>1.072901</v>
      </c>
      <c r="P164" s="18" t="n">
        <v>0.881927</v>
      </c>
      <c r="Q164" s="18" t="n">
        <v>0.839188</v>
      </c>
    </row>
    <row r="165">
      <c r="A165" s="30" t="n">
        <v>4307559</v>
      </c>
      <c r="B165" s="5" t="inlineStr">
        <is>
          <t>Estação</t>
        </is>
      </c>
      <c r="C165" s="19">
        <f>N165</f>
        <v/>
      </c>
      <c r="D165" s="19">
        <f>O165</f>
        <v/>
      </c>
      <c r="E165" s="19">
        <f>P165</f>
        <v/>
      </c>
      <c r="F165" s="19">
        <f>Q165</f>
        <v/>
      </c>
      <c r="G165" s="19">
        <f>C165+D165+E165+F165</f>
        <v/>
      </c>
      <c r="H165" s="6" t="n">
        <v>0</v>
      </c>
      <c r="I165" s="31" t="n">
        <v>0</v>
      </c>
      <c r="J165" s="6" t="n">
        <v>0</v>
      </c>
      <c r="K165" s="12" t="n">
        <v>0</v>
      </c>
      <c r="L165" s="6" t="n">
        <v>190.8</v>
      </c>
      <c r="N165" s="18" t="n">
        <v>0</v>
      </c>
      <c r="O165" s="18" t="n">
        <v>0.349728</v>
      </c>
      <c r="P165" s="18" t="n">
        <v>0.192589</v>
      </c>
      <c r="Q165" s="18" t="n">
        <v>0.201254</v>
      </c>
    </row>
    <row r="166">
      <c r="A166" s="30" t="n">
        <v>4307609</v>
      </c>
      <c r="B166" s="5" t="inlineStr">
        <is>
          <t>Estância Velha</t>
        </is>
      </c>
      <c r="C166" s="19">
        <f>N166</f>
        <v/>
      </c>
      <c r="D166" s="19">
        <f>O166</f>
        <v/>
      </c>
      <c r="E166" s="19">
        <f>P166</f>
        <v/>
      </c>
      <c r="F166" s="19">
        <f>Q166</f>
        <v/>
      </c>
      <c r="G166" s="19">
        <f>C166+D166+E166+F166</f>
        <v/>
      </c>
      <c r="H166" s="6" t="n">
        <v>0</v>
      </c>
      <c r="I166" s="31" t="n">
        <v>0</v>
      </c>
      <c r="J166" s="6" t="n">
        <v>0</v>
      </c>
      <c r="K166" s="12" t="n">
        <v>0</v>
      </c>
      <c r="L166" s="6" t="n">
        <v>117.9</v>
      </c>
      <c r="N166" s="18" t="n">
        <v>0</v>
      </c>
      <c r="O166" s="18" t="n">
        <v>10.837068</v>
      </c>
      <c r="P166" s="18" t="n">
        <v>1.36252</v>
      </c>
      <c r="Q166" s="18" t="n">
        <v>3.784786</v>
      </c>
    </row>
    <row r="167">
      <c r="A167" s="30" t="n">
        <v>4307708</v>
      </c>
      <c r="B167" s="5" t="inlineStr">
        <is>
          <t>Esteio</t>
        </is>
      </c>
      <c r="C167" s="19">
        <f>N167</f>
        <v/>
      </c>
      <c r="D167" s="19">
        <f>O167</f>
        <v/>
      </c>
      <c r="E167" s="19">
        <f>P167</f>
        <v/>
      </c>
      <c r="F167" s="19">
        <f>Q167</f>
        <v/>
      </c>
      <c r="G167" s="19">
        <f>C167+D167+E167+F167</f>
        <v/>
      </c>
      <c r="H167" s="6" t="n">
        <v>0</v>
      </c>
      <c r="I167" s="31" t="n">
        <v>0</v>
      </c>
      <c r="J167" s="6" t="n">
        <v>0</v>
      </c>
      <c r="K167" s="12" t="n">
        <v>0</v>
      </c>
      <c r="L167" s="6" t="n">
        <v>121.1</v>
      </c>
      <c r="N167" s="18" t="n">
        <v>0</v>
      </c>
      <c r="O167" s="18" t="n">
        <v>11.39452</v>
      </c>
      <c r="P167" s="18" t="n">
        <v>1.538323</v>
      </c>
      <c r="Q167" s="18" t="n">
        <v>4.838714</v>
      </c>
    </row>
    <row r="168">
      <c r="A168" s="30" t="n">
        <v>4307807</v>
      </c>
      <c r="B168" s="5" t="inlineStr">
        <is>
          <t>Estrela</t>
        </is>
      </c>
      <c r="C168" s="19">
        <f>N168</f>
        <v/>
      </c>
      <c r="D168" s="19">
        <f>O168</f>
        <v/>
      </c>
      <c r="E168" s="19">
        <f>P168</f>
        <v/>
      </c>
      <c r="F168" s="19">
        <f>Q168</f>
        <v/>
      </c>
      <c r="G168" s="19">
        <f>C168+D168+E168+F168</f>
        <v/>
      </c>
      <c r="H168" s="6" t="n">
        <v>0</v>
      </c>
      <c r="I168" s="31" t="n">
        <v>0</v>
      </c>
      <c r="J168" s="6" t="n">
        <v>0</v>
      </c>
      <c r="K168" s="12" t="n">
        <v>0</v>
      </c>
      <c r="L168" s="6" t="n">
        <v>49.6</v>
      </c>
      <c r="N168" s="18" t="n">
        <v>0</v>
      </c>
      <c r="O168" s="18" t="n">
        <v>33.744551</v>
      </c>
      <c r="P168" s="18" t="n">
        <v>2.51485</v>
      </c>
      <c r="Q168" s="18" t="n">
        <v>3.529254</v>
      </c>
    </row>
    <row r="169">
      <c r="A169" s="30" t="n">
        <v>4307815</v>
      </c>
      <c r="B169" s="5" t="inlineStr">
        <is>
          <t>Estrela Velha</t>
        </is>
      </c>
      <c r="C169" s="19">
        <f>N169</f>
        <v/>
      </c>
      <c r="D169" s="19">
        <f>O169</f>
        <v/>
      </c>
      <c r="E169" s="19">
        <f>P169</f>
        <v/>
      </c>
      <c r="F169" s="19">
        <f>Q169</f>
        <v/>
      </c>
      <c r="G169" s="19">
        <f>C169+D169+E169+F169</f>
        <v/>
      </c>
      <c r="H169" s="6" t="n">
        <v>0</v>
      </c>
      <c r="I169" s="31" t="n">
        <v>1</v>
      </c>
      <c r="J169" s="6" t="n">
        <v>3360</v>
      </c>
      <c r="K169" s="12" t="n">
        <v>28.896</v>
      </c>
      <c r="L169" s="6" t="n">
        <v>88.2</v>
      </c>
      <c r="N169" s="18" t="n">
        <v>0.562321</v>
      </c>
      <c r="O169" s="18" t="n">
        <v>0.054015</v>
      </c>
      <c r="P169" s="18" t="n">
        <v>0.303615</v>
      </c>
      <c r="Q169" s="18" t="n">
        <v>0.333965</v>
      </c>
    </row>
    <row r="170">
      <c r="A170" s="30" t="n">
        <v>4307831</v>
      </c>
      <c r="B170" s="5" t="inlineStr">
        <is>
          <t>Eugênio de Castro</t>
        </is>
      </c>
      <c r="C170" s="19">
        <f>N170</f>
        <v/>
      </c>
      <c r="D170" s="19">
        <f>O170</f>
        <v/>
      </c>
      <c r="E170" s="19">
        <f>P170</f>
        <v/>
      </c>
      <c r="F170" s="19">
        <f>Q170</f>
        <v/>
      </c>
      <c r="G170" s="19">
        <f>C170+D170+E170+F170</f>
        <v/>
      </c>
      <c r="H170" s="6" t="n">
        <v>0</v>
      </c>
      <c r="I170" s="31" t="n">
        <v>0</v>
      </c>
      <c r="J170" s="6" t="n">
        <v>0</v>
      </c>
      <c r="K170" s="12" t="n">
        <v>0</v>
      </c>
      <c r="L170" s="6" t="n">
        <v>215.2</v>
      </c>
      <c r="N170" s="18" t="n">
        <v>0</v>
      </c>
      <c r="O170" s="18" t="n">
        <v>0.022719</v>
      </c>
      <c r="P170" s="18" t="n">
        <v>0.060866</v>
      </c>
      <c r="Q170" s="18" t="n">
        <v>0.034939</v>
      </c>
    </row>
    <row r="171">
      <c r="A171" s="30" t="n">
        <v>4307864</v>
      </c>
      <c r="B171" s="5" t="inlineStr">
        <is>
          <t>Fagundes Varela</t>
        </is>
      </c>
      <c r="C171" s="19">
        <f>N171</f>
        <v/>
      </c>
      <c r="D171" s="19">
        <f>O171</f>
        <v/>
      </c>
      <c r="E171" s="19">
        <f>P171</f>
        <v/>
      </c>
      <c r="F171" s="19">
        <f>Q171</f>
        <v/>
      </c>
      <c r="G171" s="19">
        <f>C171+D171+E171+F171</f>
        <v/>
      </c>
      <c r="H171" s="6" t="n">
        <v>0</v>
      </c>
      <c r="I171" s="31" t="n">
        <v>0</v>
      </c>
      <c r="J171" s="6" t="n">
        <v>0</v>
      </c>
      <c r="K171" s="12" t="n">
        <v>0</v>
      </c>
      <c r="L171" s="6" t="n">
        <v>107.6</v>
      </c>
      <c r="N171" s="18" t="n">
        <v>0</v>
      </c>
      <c r="O171" s="18" t="n">
        <v>0.416743</v>
      </c>
      <c r="P171" s="18" t="n">
        <v>0.145505</v>
      </c>
      <c r="Q171" s="18" t="n">
        <v>0.607235</v>
      </c>
    </row>
    <row r="172">
      <c r="A172" s="30" t="n">
        <v>4307906</v>
      </c>
      <c r="B172" s="5" t="inlineStr">
        <is>
          <t>Farroupilha</t>
        </is>
      </c>
      <c r="C172" s="19">
        <f>N172</f>
        <v/>
      </c>
      <c r="D172" s="19">
        <f>O172</f>
        <v/>
      </c>
      <c r="E172" s="19">
        <f>P172</f>
        <v/>
      </c>
      <c r="F172" s="19">
        <f>Q172</f>
        <v/>
      </c>
      <c r="G172" s="19">
        <f>C172+D172+E172+F172</f>
        <v/>
      </c>
      <c r="H172" s="6" t="n">
        <v>0</v>
      </c>
      <c r="I172" s="31" t="n">
        <v>0</v>
      </c>
      <c r="J172" s="6" t="n">
        <v>0</v>
      </c>
      <c r="K172" s="12" t="n">
        <v>0</v>
      </c>
      <c r="L172" s="6" t="n">
        <v>111.9</v>
      </c>
      <c r="N172" s="18" t="n">
        <v>0</v>
      </c>
      <c r="O172" s="18" t="n">
        <v>32.074261</v>
      </c>
      <c r="P172" s="18" t="n">
        <v>1.691087</v>
      </c>
      <c r="Q172" s="18" t="n">
        <v>4.038836</v>
      </c>
    </row>
    <row r="173">
      <c r="A173" s="30" t="n">
        <v>4308003</v>
      </c>
      <c r="B173" s="5" t="inlineStr">
        <is>
          <t>Faxinal do Soturno</t>
        </is>
      </c>
      <c r="C173" s="19">
        <f>N173</f>
        <v/>
      </c>
      <c r="D173" s="19">
        <f>O173</f>
        <v/>
      </c>
      <c r="E173" s="19">
        <f>P173</f>
        <v/>
      </c>
      <c r="F173" s="19">
        <f>Q173</f>
        <v/>
      </c>
      <c r="G173" s="19">
        <f>C173+D173+E173+F173</f>
        <v/>
      </c>
      <c r="H173" s="6" t="n">
        <v>0</v>
      </c>
      <c r="I173" s="31" t="n">
        <v>0</v>
      </c>
      <c r="J173" s="6" t="n">
        <v>360</v>
      </c>
      <c r="K173" s="12" t="n">
        <v>3.096</v>
      </c>
      <c r="L173" s="6" t="n">
        <v>102.7</v>
      </c>
      <c r="N173" s="18" t="n">
        <v>0.060249</v>
      </c>
      <c r="O173" s="18" t="n">
        <v>0.389902</v>
      </c>
      <c r="P173" s="18" t="n">
        <v>0.52678</v>
      </c>
      <c r="Q173" s="18" t="n">
        <v>0.392159</v>
      </c>
    </row>
    <row r="174">
      <c r="A174" s="30" t="n">
        <v>4308052</v>
      </c>
      <c r="B174" s="5" t="inlineStr">
        <is>
          <t>Faxinalzinho</t>
        </is>
      </c>
      <c r="C174" s="19">
        <f>N174</f>
        <v/>
      </c>
      <c r="D174" s="19">
        <f>O174</f>
        <v/>
      </c>
      <c r="E174" s="19">
        <f>P174</f>
        <v/>
      </c>
      <c r="F174" s="19">
        <f>Q174</f>
        <v/>
      </c>
      <c r="G174" s="19">
        <f>C174+D174+E174+F174</f>
        <v/>
      </c>
      <c r="H174" s="6" t="n">
        <v>0</v>
      </c>
      <c r="I174" s="31" t="n">
        <v>0</v>
      </c>
      <c r="J174" s="6" t="n">
        <v>0</v>
      </c>
      <c r="K174" s="12" t="n">
        <v>0</v>
      </c>
      <c r="L174" s="6" t="n">
        <v>253.1</v>
      </c>
      <c r="N174" s="18" t="n">
        <v>0</v>
      </c>
      <c r="O174" s="18" t="n">
        <v>0.023388</v>
      </c>
      <c r="P174" s="18" t="n">
        <v>0.032899</v>
      </c>
      <c r="Q174" s="18" t="n">
        <v>0.044194</v>
      </c>
    </row>
    <row r="175">
      <c r="A175" s="30" t="n">
        <v>4308078</v>
      </c>
      <c r="B175" s="5" t="inlineStr">
        <is>
          <t>Fazenda Vilanova</t>
        </is>
      </c>
      <c r="C175" s="19">
        <f>N175</f>
        <v/>
      </c>
      <c r="D175" s="19">
        <f>O175</f>
        <v/>
      </c>
      <c r="E175" s="19">
        <f>P175</f>
        <v/>
      </c>
      <c r="F175" s="19">
        <f>Q175</f>
        <v/>
      </c>
      <c r="G175" s="19">
        <f>C175+D175+E175+F175</f>
        <v/>
      </c>
      <c r="H175" s="6" t="n">
        <v>0</v>
      </c>
      <c r="I175" s="31" t="n">
        <v>0</v>
      </c>
      <c r="J175" s="6" t="n">
        <v>0</v>
      </c>
      <c r="K175" s="12" t="n">
        <v>0</v>
      </c>
      <c r="L175" s="6" t="n">
        <v>55.4</v>
      </c>
      <c r="N175" s="18" t="n">
        <v>0</v>
      </c>
      <c r="O175" s="18" t="n">
        <v>0.730733</v>
      </c>
      <c r="P175" s="18" t="n">
        <v>0.553882</v>
      </c>
      <c r="Q175" s="18" t="n">
        <v>1.18603</v>
      </c>
    </row>
    <row r="176">
      <c r="A176" s="30" t="n">
        <v>4308102</v>
      </c>
      <c r="B176" s="5" t="inlineStr">
        <is>
          <t>Feliz</t>
        </is>
      </c>
      <c r="C176" s="19">
        <f>N176</f>
        <v/>
      </c>
      <c r="D176" s="19">
        <f>O176</f>
        <v/>
      </c>
      <c r="E176" s="19">
        <f>P176</f>
        <v/>
      </c>
      <c r="F176" s="19">
        <f>Q176</f>
        <v/>
      </c>
      <c r="G176" s="19">
        <f>C176+D176+E176+F176</f>
        <v/>
      </c>
      <c r="H176" s="6" t="n">
        <v>0</v>
      </c>
      <c r="I176" s="31" t="n">
        <v>0</v>
      </c>
      <c r="J176" s="6" t="n">
        <v>0</v>
      </c>
      <c r="K176" s="12" t="n">
        <v>0</v>
      </c>
      <c r="L176" s="6" t="n">
        <v>110.7</v>
      </c>
      <c r="N176" s="18" t="n">
        <v>0</v>
      </c>
      <c r="O176" s="18" t="n">
        <v>11.047788</v>
      </c>
      <c r="P176" s="18" t="n">
        <v>0.66196</v>
      </c>
      <c r="Q176" s="18" t="n">
        <v>1.947532</v>
      </c>
    </row>
    <row r="177">
      <c r="A177" s="30" t="n">
        <v>4308201</v>
      </c>
      <c r="B177" s="5" t="inlineStr">
        <is>
          <t>Flores da Cunha</t>
        </is>
      </c>
      <c r="C177" s="19">
        <f>N177</f>
        <v/>
      </c>
      <c r="D177" s="19">
        <f>O177</f>
        <v/>
      </c>
      <c r="E177" s="19">
        <f>P177</f>
        <v/>
      </c>
      <c r="F177" s="19">
        <f>Q177</f>
        <v/>
      </c>
      <c r="G177" s="19">
        <f>C177+D177+E177+F177</f>
        <v/>
      </c>
      <c r="H177" s="6" t="n">
        <v>0</v>
      </c>
      <c r="I177" s="31" t="n">
        <v>0</v>
      </c>
      <c r="J177" s="6" t="n">
        <v>0</v>
      </c>
      <c r="K177" s="12" t="n">
        <v>0</v>
      </c>
      <c r="L177" s="6" t="n">
        <v>133.8</v>
      </c>
      <c r="N177" s="18" t="n">
        <v>0</v>
      </c>
      <c r="O177" s="18" t="n">
        <v>11.319766</v>
      </c>
      <c r="P177" s="18" t="n">
        <v>0.891517</v>
      </c>
      <c r="Q177" s="18" t="n">
        <v>2.249632</v>
      </c>
    </row>
    <row r="178">
      <c r="A178" s="30" t="n">
        <v>4308250</v>
      </c>
      <c r="B178" s="5" t="inlineStr">
        <is>
          <t>Floriano Peixoto</t>
        </is>
      </c>
      <c r="C178" s="19">
        <f>N178</f>
        <v/>
      </c>
      <c r="D178" s="19">
        <f>O178</f>
        <v/>
      </c>
      <c r="E178" s="19">
        <f>P178</f>
        <v/>
      </c>
      <c r="F178" s="19">
        <f>Q178</f>
        <v/>
      </c>
      <c r="G178" s="19">
        <f>C178+D178+E178+F178</f>
        <v/>
      </c>
      <c r="H178" s="6" t="n">
        <v>0</v>
      </c>
      <c r="I178" s="31" t="n">
        <v>0</v>
      </c>
      <c r="J178" s="6" t="n">
        <v>0</v>
      </c>
      <c r="K178" s="12" t="n">
        <v>0</v>
      </c>
      <c r="L178" s="6" t="n">
        <v>201.4</v>
      </c>
      <c r="N178" s="18" t="n">
        <v>0</v>
      </c>
      <c r="O178" s="18" t="n">
        <v>0.035676</v>
      </c>
      <c r="P178" s="18" t="n">
        <v>0.043484</v>
      </c>
      <c r="Q178" s="18" t="n">
        <v>0.098799</v>
      </c>
    </row>
    <row r="179">
      <c r="A179" s="30" t="n">
        <v>4308300</v>
      </c>
      <c r="B179" s="5" t="inlineStr">
        <is>
          <t>Fontoura Xavier</t>
        </is>
      </c>
      <c r="C179" s="19">
        <f>N179</f>
        <v/>
      </c>
      <c r="D179" s="19">
        <f>O179</f>
        <v/>
      </c>
      <c r="E179" s="19">
        <f>P179</f>
        <v/>
      </c>
      <c r="F179" s="19">
        <f>Q179</f>
        <v/>
      </c>
      <c r="G179" s="19">
        <f>C179+D179+E179+F179</f>
        <v/>
      </c>
      <c r="H179" s="6" t="n">
        <v>0</v>
      </c>
      <c r="I179" s="31" t="n">
        <v>0</v>
      </c>
      <c r="J179" s="6" t="n">
        <v>2394</v>
      </c>
      <c r="K179" s="12" t="n">
        <v>20.588</v>
      </c>
      <c r="L179" s="6" t="n">
        <v>70.8</v>
      </c>
      <c r="N179" s="18" t="n">
        <v>0.400654</v>
      </c>
      <c r="O179" s="18" t="n">
        <v>0.437281</v>
      </c>
      <c r="P179" s="18" t="n">
        <v>0.558584</v>
      </c>
      <c r="Q179" s="18" t="n">
        <v>1.095426</v>
      </c>
    </row>
    <row r="180">
      <c r="A180" s="30" t="n">
        <v>4308409</v>
      </c>
      <c r="B180" s="5" t="inlineStr">
        <is>
          <t>Formigueiro</t>
        </is>
      </c>
      <c r="C180" s="19">
        <f>N180</f>
        <v/>
      </c>
      <c r="D180" s="19">
        <f>O180</f>
        <v/>
      </c>
      <c r="E180" s="19">
        <f>P180</f>
        <v/>
      </c>
      <c r="F180" s="19">
        <f>Q180</f>
        <v/>
      </c>
      <c r="G180" s="19">
        <f>C180+D180+E180+F180</f>
        <v/>
      </c>
      <c r="H180" s="6" t="n">
        <v>0</v>
      </c>
      <c r="I180" s="31" t="n">
        <v>0</v>
      </c>
      <c r="J180" s="6" t="n">
        <v>77</v>
      </c>
      <c r="K180" s="12" t="n">
        <v>0.662</v>
      </c>
      <c r="L180" s="6" t="n">
        <v>112.3</v>
      </c>
      <c r="N180" s="18" t="n">
        <v>0.012887</v>
      </c>
      <c r="O180" s="18" t="n">
        <v>0.230956</v>
      </c>
      <c r="P180" s="18" t="n">
        <v>0.264761</v>
      </c>
      <c r="Q180" s="18" t="n">
        <v>0.268959</v>
      </c>
    </row>
    <row r="181">
      <c r="A181" s="30" t="n">
        <v>4308433</v>
      </c>
      <c r="B181" s="5" t="inlineStr">
        <is>
          <t>Forquetinha</t>
        </is>
      </c>
      <c r="C181" s="19">
        <f>N181</f>
        <v/>
      </c>
      <c r="D181" s="19">
        <f>O181</f>
        <v/>
      </c>
      <c r="E181" s="19">
        <f>P181</f>
        <v/>
      </c>
      <c r="F181" s="19">
        <f>Q181</f>
        <v/>
      </c>
      <c r="G181" s="19">
        <f>C181+D181+E181+F181</f>
        <v/>
      </c>
      <c r="H181" s="6" t="n">
        <v>0</v>
      </c>
      <c r="I181" s="31" t="n">
        <v>0</v>
      </c>
      <c r="J181" s="6" t="n">
        <v>55</v>
      </c>
      <c r="K181" s="12" t="n">
        <v>0.473</v>
      </c>
      <c r="L181" s="6" t="n">
        <v>39.5</v>
      </c>
      <c r="N181" s="18" t="n">
        <v>0.009205</v>
      </c>
      <c r="O181" s="18" t="n">
        <v>0.501518</v>
      </c>
      <c r="P181" s="18" t="n">
        <v>0.297399</v>
      </c>
      <c r="Q181" s="18" t="n">
        <v>0.86972</v>
      </c>
    </row>
    <row r="182">
      <c r="A182" s="30" t="n">
        <v>4308458</v>
      </c>
      <c r="B182" s="5" t="inlineStr">
        <is>
          <t>Fortaleza dos Valos</t>
        </is>
      </c>
      <c r="C182" s="19">
        <f>N182</f>
        <v/>
      </c>
      <c r="D182" s="19">
        <f>O182</f>
        <v/>
      </c>
      <c r="E182" s="19">
        <f>P182</f>
        <v/>
      </c>
      <c r="F182" s="19">
        <f>Q182</f>
        <v/>
      </c>
      <c r="G182" s="19">
        <f>C182+D182+E182+F182</f>
        <v/>
      </c>
      <c r="H182" s="6" t="n">
        <v>0</v>
      </c>
      <c r="I182" s="31" t="n">
        <v>0</v>
      </c>
      <c r="J182" s="6" t="n">
        <v>0</v>
      </c>
      <c r="K182" s="12" t="n">
        <v>0</v>
      </c>
      <c r="L182" s="6" t="n">
        <v>118.5</v>
      </c>
      <c r="N182" s="18" t="n">
        <v>0</v>
      </c>
      <c r="O182" s="18" t="n">
        <v>0.129367</v>
      </c>
      <c r="P182" s="18" t="n">
        <v>0.280398</v>
      </c>
      <c r="Q182" s="18" t="n">
        <v>0.282454</v>
      </c>
    </row>
    <row r="183">
      <c r="A183" s="30" t="n">
        <v>4308508</v>
      </c>
      <c r="B183" s="5" t="inlineStr">
        <is>
          <t>Frederico Westphalen</t>
        </is>
      </c>
      <c r="C183" s="19">
        <f>N183</f>
        <v/>
      </c>
      <c r="D183" s="19">
        <f>O183</f>
        <v/>
      </c>
      <c r="E183" s="19">
        <f>P183</f>
        <v/>
      </c>
      <c r="F183" s="19">
        <f>Q183</f>
        <v/>
      </c>
      <c r="G183" s="19">
        <f>C183+D183+E183+F183</f>
        <v/>
      </c>
      <c r="H183" s="6" t="n">
        <v>0</v>
      </c>
      <c r="I183" s="31" t="n">
        <v>0</v>
      </c>
      <c r="J183" s="6" t="n">
        <v>215</v>
      </c>
      <c r="K183" s="12" t="n">
        <v>1.849</v>
      </c>
      <c r="L183" s="6" t="n">
        <v>272.1</v>
      </c>
      <c r="N183" s="18" t="n">
        <v>0.035982</v>
      </c>
      <c r="O183" s="18" t="n">
        <v>0</v>
      </c>
      <c r="P183" s="18" t="n">
        <v>0</v>
      </c>
      <c r="Q183" s="18" t="n">
        <v>0.106727</v>
      </c>
    </row>
    <row r="184">
      <c r="A184" s="30" t="n">
        <v>4308607</v>
      </c>
      <c r="B184" s="5" t="inlineStr">
        <is>
          <t>Garibaldi</t>
        </is>
      </c>
      <c r="C184" s="19">
        <f>N184</f>
        <v/>
      </c>
      <c r="D184" s="19">
        <f>O184</f>
        <v/>
      </c>
      <c r="E184" s="19">
        <f>P184</f>
        <v/>
      </c>
      <c r="F184" s="19">
        <f>Q184</f>
        <v/>
      </c>
      <c r="G184" s="19">
        <f>C184+D184+E184+F184</f>
        <v/>
      </c>
      <c r="H184" s="6" t="n">
        <v>0</v>
      </c>
      <c r="I184" s="31" t="n">
        <v>0</v>
      </c>
      <c r="J184" s="6" t="n">
        <v>0</v>
      </c>
      <c r="K184" s="12" t="n">
        <v>0</v>
      </c>
      <c r="L184" s="6" t="n">
        <v>91.7</v>
      </c>
      <c r="N184" s="18" t="n">
        <v>0</v>
      </c>
      <c r="O184" s="18" t="n">
        <v>18.08713</v>
      </c>
      <c r="P184" s="18" t="n">
        <v>1.589486</v>
      </c>
      <c r="Q184" s="18" t="n">
        <v>3.015928</v>
      </c>
    </row>
    <row r="185">
      <c r="A185" s="30" t="n">
        <v>4308656</v>
      </c>
      <c r="B185" s="5" t="inlineStr">
        <is>
          <t>Garruchos</t>
        </is>
      </c>
      <c r="C185" s="19">
        <f>N185</f>
        <v/>
      </c>
      <c r="D185" s="19">
        <f>O185</f>
        <v/>
      </c>
      <c r="E185" s="19">
        <f>P185</f>
        <v/>
      </c>
      <c r="F185" s="19">
        <f>Q185</f>
        <v/>
      </c>
      <c r="G185" s="19">
        <f>C185+D185+E185+F185</f>
        <v/>
      </c>
      <c r="H185" s="6" t="n">
        <v>0</v>
      </c>
      <c r="I185" s="31" t="n">
        <v>0</v>
      </c>
      <c r="J185" s="6" t="n">
        <v>0</v>
      </c>
      <c r="K185" s="12" t="n">
        <v>0</v>
      </c>
      <c r="L185" s="6" t="n">
        <v>343</v>
      </c>
      <c r="N185" s="18" t="n">
        <v>0</v>
      </c>
      <c r="O185" s="18" t="n">
        <v>0</v>
      </c>
      <c r="P185" s="18" t="n">
        <v>0</v>
      </c>
      <c r="Q185" s="18" t="n">
        <v>0.002708</v>
      </c>
    </row>
    <row r="186">
      <c r="A186" s="30" t="n">
        <v>4308706</v>
      </c>
      <c r="B186" s="5" t="inlineStr">
        <is>
          <t>Gaurama</t>
        </is>
      </c>
      <c r="C186" s="19">
        <f>N186</f>
        <v/>
      </c>
      <c r="D186" s="19">
        <f>O186</f>
        <v/>
      </c>
      <c r="E186" s="19">
        <f>P186</f>
        <v/>
      </c>
      <c r="F186" s="19">
        <f>Q186</f>
        <v/>
      </c>
      <c r="G186" s="19">
        <f>C186+D186+E186+F186</f>
        <v/>
      </c>
      <c r="H186" s="6" t="n">
        <v>0</v>
      </c>
      <c r="I186" s="31" t="n">
        <v>0</v>
      </c>
      <c r="J186" s="6" t="n">
        <v>3</v>
      </c>
      <c r="K186" s="12" t="n">
        <v>0.026</v>
      </c>
      <c r="L186" s="6" t="n">
        <v>228.8</v>
      </c>
      <c r="N186" s="18" t="n">
        <v>0.000502</v>
      </c>
      <c r="O186" s="18" t="n">
        <v>0.125081</v>
      </c>
      <c r="P186" s="18" t="n">
        <v>0.101333</v>
      </c>
      <c r="Q186" s="18" t="n">
        <v>0.106151</v>
      </c>
    </row>
    <row r="187">
      <c r="A187" s="30" t="n">
        <v>4308805</v>
      </c>
      <c r="B187" s="5" t="inlineStr">
        <is>
          <t>General Câmara</t>
        </is>
      </c>
      <c r="C187" s="19">
        <f>N187</f>
        <v/>
      </c>
      <c r="D187" s="19">
        <f>O187</f>
        <v/>
      </c>
      <c r="E187" s="19">
        <f>P187</f>
        <v/>
      </c>
      <c r="F187" s="19">
        <f>Q187</f>
        <v/>
      </c>
      <c r="G187" s="19">
        <f>C187+D187+E187+F187</f>
        <v/>
      </c>
      <c r="H187" s="6" t="n">
        <v>0</v>
      </c>
      <c r="I187" s="31" t="n">
        <v>1</v>
      </c>
      <c r="J187" s="6" t="n">
        <v>1144</v>
      </c>
      <c r="K187" s="12" t="n">
        <v>9.837999999999999</v>
      </c>
      <c r="L187" s="6" t="n">
        <v>53.3</v>
      </c>
      <c r="N187" s="18" t="n">
        <v>0.191457</v>
      </c>
      <c r="O187" s="18" t="n">
        <v>0.266396</v>
      </c>
      <c r="P187" s="18" t="n">
        <v>0.563738</v>
      </c>
      <c r="Q187" s="18" t="n">
        <v>1.424747</v>
      </c>
    </row>
    <row r="188">
      <c r="A188" s="30" t="n">
        <v>4308854</v>
      </c>
      <c r="B188" s="5" t="inlineStr">
        <is>
          <t>Gentil</t>
        </is>
      </c>
      <c r="C188" s="19">
        <f>N188</f>
        <v/>
      </c>
      <c r="D188" s="19">
        <f>O188</f>
        <v/>
      </c>
      <c r="E188" s="19">
        <f>P188</f>
        <v/>
      </c>
      <c r="F188" s="19">
        <f>Q188</f>
        <v/>
      </c>
      <c r="G188" s="19">
        <f>C188+D188+E188+F188</f>
        <v/>
      </c>
      <c r="H188" s="6" t="n">
        <v>0</v>
      </c>
      <c r="I188" s="31" t="n">
        <v>0</v>
      </c>
      <c r="J188" s="6" t="n">
        <v>0</v>
      </c>
      <c r="K188" s="12" t="n">
        <v>0</v>
      </c>
      <c r="L188" s="6" t="n">
        <v>144.2</v>
      </c>
      <c r="N188" s="18" t="n">
        <v>0</v>
      </c>
      <c r="O188" s="18" t="n">
        <v>0.115928</v>
      </c>
      <c r="P188" s="18" t="n">
        <v>0.101565</v>
      </c>
      <c r="Q188" s="18" t="n">
        <v>0.258969</v>
      </c>
    </row>
    <row r="189">
      <c r="A189" s="30" t="n">
        <v>4308904</v>
      </c>
      <c r="B189" s="5" t="inlineStr">
        <is>
          <t>Getúlio Vargas</t>
        </is>
      </c>
      <c r="C189" s="19">
        <f>N189</f>
        <v/>
      </c>
      <c r="D189" s="19">
        <f>O189</f>
        <v/>
      </c>
      <c r="E189" s="19">
        <f>P189</f>
        <v/>
      </c>
      <c r="F189" s="19">
        <f>Q189</f>
        <v/>
      </c>
      <c r="G189" s="19">
        <f>C189+D189+E189+F189</f>
        <v/>
      </c>
      <c r="H189" s="6" t="n">
        <v>0</v>
      </c>
      <c r="I189" s="31" t="n">
        <v>0</v>
      </c>
      <c r="J189" s="6" t="n">
        <v>20</v>
      </c>
      <c r="K189" s="12" t="n">
        <v>0.172</v>
      </c>
      <c r="L189" s="6" t="n">
        <v>200.1</v>
      </c>
      <c r="N189" s="18" t="n">
        <v>0.003347</v>
      </c>
      <c r="O189" s="18" t="n">
        <v>3.086361</v>
      </c>
      <c r="P189" s="18" t="n">
        <v>0.302746</v>
      </c>
      <c r="Q189" s="18" t="n">
        <v>0.314919</v>
      </c>
    </row>
    <row r="190">
      <c r="A190" s="30" t="n">
        <v>4309001</v>
      </c>
      <c r="B190" s="5" t="inlineStr">
        <is>
          <t>Giruá</t>
        </is>
      </c>
      <c r="C190" s="19">
        <f>N190</f>
        <v/>
      </c>
      <c r="D190" s="19">
        <f>O190</f>
        <v/>
      </c>
      <c r="E190" s="19">
        <f>P190</f>
        <v/>
      </c>
      <c r="F190" s="19">
        <f>Q190</f>
        <v/>
      </c>
      <c r="G190" s="19">
        <f>C190+D190+E190+F190</f>
        <v/>
      </c>
      <c r="H190" s="6" t="n">
        <v>0</v>
      </c>
      <c r="I190" s="31" t="n">
        <v>0</v>
      </c>
      <c r="J190" s="6" t="n">
        <v>0</v>
      </c>
      <c r="K190" s="12" t="n">
        <v>0</v>
      </c>
      <c r="L190" s="6" t="n">
        <v>257.2</v>
      </c>
      <c r="N190" s="18" t="n">
        <v>0</v>
      </c>
      <c r="O190" s="18" t="n">
        <v>0.077921</v>
      </c>
      <c r="P190" s="18" t="n">
        <v>0.148354</v>
      </c>
      <c r="Q190" s="18" t="n">
        <v>0.054411</v>
      </c>
    </row>
    <row r="191">
      <c r="A191" s="30" t="n">
        <v>4309050</v>
      </c>
      <c r="B191" s="5" t="inlineStr">
        <is>
          <t>Glorinha</t>
        </is>
      </c>
      <c r="C191" s="19">
        <f>N191</f>
        <v/>
      </c>
      <c r="D191" s="19">
        <f>O191</f>
        <v/>
      </c>
      <c r="E191" s="19">
        <f>P191</f>
        <v/>
      </c>
      <c r="F191" s="19">
        <f>Q191</f>
        <v/>
      </c>
      <c r="G191" s="19">
        <f>C191+D191+E191+F191</f>
        <v/>
      </c>
      <c r="H191" s="6" t="n">
        <v>0</v>
      </c>
      <c r="I191" s="31" t="n">
        <v>0</v>
      </c>
      <c r="J191" s="6" t="n">
        <v>0</v>
      </c>
      <c r="K191" s="12" t="n">
        <v>0</v>
      </c>
      <c r="L191" s="6" t="n">
        <v>160.4</v>
      </c>
      <c r="N191" s="18" t="n">
        <v>0</v>
      </c>
      <c r="O191" s="18" t="n">
        <v>1.774282</v>
      </c>
      <c r="P191" s="18" t="n">
        <v>0.306891</v>
      </c>
      <c r="Q191" s="18" t="n">
        <v>1.144127</v>
      </c>
    </row>
    <row r="192">
      <c r="A192" s="30" t="n">
        <v>4309100</v>
      </c>
      <c r="B192" s="5" t="inlineStr">
        <is>
          <t>Gramado</t>
        </is>
      </c>
      <c r="C192" s="19">
        <f>N192</f>
        <v/>
      </c>
      <c r="D192" s="19">
        <f>O192</f>
        <v/>
      </c>
      <c r="E192" s="19">
        <f>P192</f>
        <v/>
      </c>
      <c r="F192" s="19">
        <f>Q192</f>
        <v/>
      </c>
      <c r="G192" s="19">
        <f>C192+D192+E192+F192</f>
        <v/>
      </c>
      <c r="H192" s="6" t="n">
        <v>0</v>
      </c>
      <c r="I192" s="31" t="n">
        <v>0</v>
      </c>
      <c r="J192" s="6" t="n">
        <v>0</v>
      </c>
      <c r="K192" s="12" t="n">
        <v>0</v>
      </c>
      <c r="L192" s="6" t="n">
        <v>149.1</v>
      </c>
      <c r="N192" s="18" t="n">
        <v>0</v>
      </c>
      <c r="O192" s="18" t="n">
        <v>1.331283</v>
      </c>
      <c r="P192" s="18" t="n">
        <v>1.141689</v>
      </c>
      <c r="Q192" s="18" t="n">
        <v>2.672111</v>
      </c>
    </row>
    <row r="193">
      <c r="A193" s="30" t="n">
        <v>4309126</v>
      </c>
      <c r="B193" s="5" t="inlineStr">
        <is>
          <t>Gramado dos Loureiros</t>
        </is>
      </c>
      <c r="C193" s="19">
        <f>N193</f>
        <v/>
      </c>
      <c r="D193" s="19">
        <f>O193</f>
        <v/>
      </c>
      <c r="E193" s="19">
        <f>P193</f>
        <v/>
      </c>
      <c r="F193" s="19">
        <f>Q193</f>
        <v/>
      </c>
      <c r="G193" s="19">
        <f>C193+D193+E193+F193</f>
        <v/>
      </c>
      <c r="H193" s="6" t="n">
        <v>0</v>
      </c>
      <c r="I193" s="31" t="n">
        <v>0</v>
      </c>
      <c r="J193" s="6" t="n">
        <v>0</v>
      </c>
      <c r="K193" s="12" t="n">
        <v>0</v>
      </c>
      <c r="L193" s="6" t="n">
        <v>248.9</v>
      </c>
      <c r="N193" s="18" t="n">
        <v>0</v>
      </c>
      <c r="O193" s="18" t="n">
        <v>0.030217</v>
      </c>
      <c r="P193" s="18" t="n">
        <v>0.023457</v>
      </c>
      <c r="Q193" s="18" t="n">
        <v>0.039249</v>
      </c>
    </row>
    <row r="194">
      <c r="A194" s="30" t="n">
        <v>4309159</v>
      </c>
      <c r="B194" s="5" t="inlineStr">
        <is>
          <t>Gramado Xavier</t>
        </is>
      </c>
      <c r="C194" s="19">
        <f>N194</f>
        <v/>
      </c>
      <c r="D194" s="19">
        <f>O194</f>
        <v/>
      </c>
      <c r="E194" s="19">
        <f>P194</f>
        <v/>
      </c>
      <c r="F194" s="19">
        <f>Q194</f>
        <v/>
      </c>
      <c r="G194" s="19">
        <f>C194+D194+E194+F194</f>
        <v/>
      </c>
      <c r="H194" s="6" t="n">
        <v>0</v>
      </c>
      <c r="I194" s="31" t="n">
        <v>0</v>
      </c>
      <c r="J194" s="6" t="n">
        <v>4632</v>
      </c>
      <c r="K194" s="12" t="n">
        <v>39.835</v>
      </c>
      <c r="L194" s="6" t="n">
        <v>43.8</v>
      </c>
      <c r="N194" s="18" t="n">
        <v>0.7752</v>
      </c>
      <c r="O194" s="18" t="n">
        <v>0.232105</v>
      </c>
      <c r="P194" s="18" t="n">
        <v>0.254182</v>
      </c>
      <c r="Q194" s="18" t="n">
        <v>0.682098</v>
      </c>
    </row>
    <row r="195">
      <c r="A195" s="30" t="n">
        <v>4309209</v>
      </c>
      <c r="B195" s="5" t="inlineStr">
        <is>
          <t>Gravataí</t>
        </is>
      </c>
      <c r="C195" s="19">
        <f>N195</f>
        <v/>
      </c>
      <c r="D195" s="19">
        <f>O195</f>
        <v/>
      </c>
      <c r="E195" s="19">
        <f>P195</f>
        <v/>
      </c>
      <c r="F195" s="19">
        <f>Q195</f>
        <v/>
      </c>
      <c r="G195" s="19">
        <f>C195+D195+E195+F195</f>
        <v/>
      </c>
      <c r="H195" s="6" t="n">
        <v>0</v>
      </c>
      <c r="I195" s="31" t="n">
        <v>0</v>
      </c>
      <c r="J195" s="6" t="n">
        <v>0</v>
      </c>
      <c r="K195" s="12" t="n">
        <v>0</v>
      </c>
      <c r="L195" s="6" t="n">
        <v>143.6</v>
      </c>
      <c r="N195" s="18" t="n">
        <v>0</v>
      </c>
      <c r="O195" s="18" t="n">
        <v>61.164558</v>
      </c>
      <c r="P195" s="18" t="n">
        <v>1.869203</v>
      </c>
      <c r="Q195" s="18" t="n">
        <v>8.009259</v>
      </c>
    </row>
    <row r="196">
      <c r="A196" s="30" t="n">
        <v>4309258</v>
      </c>
      <c r="B196" s="5" t="inlineStr">
        <is>
          <t>Guabiju</t>
        </is>
      </c>
      <c r="C196" s="19">
        <f>N196</f>
        <v/>
      </c>
      <c r="D196" s="19">
        <f>O196</f>
        <v/>
      </c>
      <c r="E196" s="19">
        <f>P196</f>
        <v/>
      </c>
      <c r="F196" s="19">
        <f>Q196</f>
        <v/>
      </c>
      <c r="G196" s="19">
        <f>C196+D196+E196+F196</f>
        <v/>
      </c>
      <c r="H196" s="6" t="n">
        <v>0</v>
      </c>
      <c r="I196" s="31" t="n">
        <v>0</v>
      </c>
      <c r="J196" s="6" t="n">
        <v>11</v>
      </c>
      <c r="K196" s="12" t="n">
        <v>0.095</v>
      </c>
      <c r="L196" s="6" t="n">
        <v>139</v>
      </c>
      <c r="N196" s="18" t="n">
        <v>0.001841</v>
      </c>
      <c r="O196" s="18" t="n">
        <v>0.111919</v>
      </c>
      <c r="P196" s="18" t="n">
        <v>0.085215</v>
      </c>
      <c r="Q196" s="18" t="n">
        <v>0.32781</v>
      </c>
    </row>
    <row r="197">
      <c r="A197" s="30" t="n">
        <v>4309308</v>
      </c>
      <c r="B197" s="5" t="inlineStr">
        <is>
          <t>Guaíba</t>
        </is>
      </c>
      <c r="C197" s="19">
        <f>N197</f>
        <v/>
      </c>
      <c r="D197" s="19">
        <f>O197</f>
        <v/>
      </c>
      <c r="E197" s="19">
        <f>P197</f>
        <v/>
      </c>
      <c r="F197" s="19">
        <f>Q197</f>
        <v/>
      </c>
      <c r="G197" s="19">
        <f>C197+D197+E197+F197</f>
        <v/>
      </c>
      <c r="H197" s="6" t="n">
        <v>0</v>
      </c>
      <c r="I197" s="31" t="n">
        <v>0</v>
      </c>
      <c r="J197" s="6" t="n">
        <v>0</v>
      </c>
      <c r="K197" s="12" t="n">
        <v>0</v>
      </c>
      <c r="L197" s="6" t="n">
        <v>110.9</v>
      </c>
      <c r="N197" s="18" t="n">
        <v>0</v>
      </c>
      <c r="O197" s="18" t="n">
        <v>46.034156</v>
      </c>
      <c r="P197" s="18" t="n">
        <v>1.647357</v>
      </c>
      <c r="Q197" s="18" t="n">
        <v>4.442286</v>
      </c>
    </row>
    <row r="198">
      <c r="A198" s="30" t="n">
        <v>4309407</v>
      </c>
      <c r="B198" s="5" t="inlineStr">
        <is>
          <t>Guaporé</t>
        </is>
      </c>
      <c r="C198" s="19">
        <f>N198</f>
        <v/>
      </c>
      <c r="D198" s="19">
        <f>O198</f>
        <v/>
      </c>
      <c r="E198" s="19">
        <f>P198</f>
        <v/>
      </c>
      <c r="F198" s="19">
        <f>Q198</f>
        <v/>
      </c>
      <c r="G198" s="19">
        <f>C198+D198+E198+F198</f>
        <v/>
      </c>
      <c r="H198" s="6" t="n">
        <v>0</v>
      </c>
      <c r="I198" s="31" t="n">
        <v>0</v>
      </c>
      <c r="J198" s="6" t="n">
        <v>10</v>
      </c>
      <c r="K198" s="12" t="n">
        <v>0.08599999999999999</v>
      </c>
      <c r="L198" s="6" t="n">
        <v>100.4</v>
      </c>
      <c r="N198" s="18" t="n">
        <v>0.001674</v>
      </c>
      <c r="O198" s="18" t="n">
        <v>8.46533</v>
      </c>
      <c r="P198" s="18" t="n">
        <v>1.102353</v>
      </c>
      <c r="Q198" s="18" t="n">
        <v>1.813827</v>
      </c>
    </row>
    <row r="199">
      <c r="A199" s="30" t="n">
        <v>4309506</v>
      </c>
      <c r="B199" s="5" t="inlineStr">
        <is>
          <t>Guarani das Missões</t>
        </is>
      </c>
      <c r="C199" s="19">
        <f>N199</f>
        <v/>
      </c>
      <c r="D199" s="19">
        <f>O199</f>
        <v/>
      </c>
      <c r="E199" s="19">
        <f>P199</f>
        <v/>
      </c>
      <c r="F199" s="19">
        <f>Q199</f>
        <v/>
      </c>
      <c r="G199" s="19">
        <f>C199+D199+E199+F199</f>
        <v/>
      </c>
      <c r="H199" s="6" t="n">
        <v>0</v>
      </c>
      <c r="I199" s="31" t="n">
        <v>0</v>
      </c>
      <c r="J199" s="6" t="n">
        <v>0</v>
      </c>
      <c r="K199" s="12" t="n">
        <v>0</v>
      </c>
      <c r="L199" s="6" t="n">
        <v>268.3</v>
      </c>
      <c r="N199" s="18" t="n">
        <v>0</v>
      </c>
      <c r="O199" s="18" t="n">
        <v>0</v>
      </c>
      <c r="P199" s="18" t="n">
        <v>0</v>
      </c>
      <c r="Q199" s="18" t="n">
        <v>0.027778</v>
      </c>
    </row>
    <row r="200">
      <c r="A200" s="30" t="n">
        <v>4309555</v>
      </c>
      <c r="B200" s="5" t="inlineStr">
        <is>
          <t>Harmonia</t>
        </is>
      </c>
      <c r="C200" s="19">
        <f>N200</f>
        <v/>
      </c>
      <c r="D200" s="19">
        <f>O200</f>
        <v/>
      </c>
      <c r="E200" s="19">
        <f>P200</f>
        <v/>
      </c>
      <c r="F200" s="19">
        <f>Q200</f>
        <v/>
      </c>
      <c r="G200" s="19">
        <f>C200+D200+E200+F200</f>
        <v/>
      </c>
      <c r="H200" s="6" t="n">
        <v>0</v>
      </c>
      <c r="I200" s="31" t="n">
        <v>0</v>
      </c>
      <c r="J200" s="6" t="n">
        <v>0</v>
      </c>
      <c r="K200" s="12" t="n">
        <v>0</v>
      </c>
      <c r="L200" s="6" t="n">
        <v>95.59999999999999</v>
      </c>
      <c r="N200" s="18" t="n">
        <v>0</v>
      </c>
      <c r="O200" s="18" t="n">
        <v>1.361621</v>
      </c>
      <c r="P200" s="18" t="n">
        <v>0.392666</v>
      </c>
      <c r="Q200" s="18" t="n">
        <v>1.27457</v>
      </c>
    </row>
    <row r="201">
      <c r="A201" s="30" t="n">
        <v>4309571</v>
      </c>
      <c r="B201" s="5" t="inlineStr">
        <is>
          <t>Herveiras</t>
        </is>
      </c>
      <c r="C201" s="19">
        <f>N201</f>
        <v/>
      </c>
      <c r="D201" s="19">
        <f>O201</f>
        <v/>
      </c>
      <c r="E201" s="19">
        <f>P201</f>
        <v/>
      </c>
      <c r="F201" s="19">
        <f>Q201</f>
        <v/>
      </c>
      <c r="G201" s="19">
        <f>C201+D201+E201+F201</f>
        <v/>
      </c>
      <c r="H201" s="6" t="n">
        <v>0</v>
      </c>
      <c r="I201" s="31" t="n">
        <v>1</v>
      </c>
      <c r="J201" s="6" t="n">
        <v>3830</v>
      </c>
      <c r="K201" s="12" t="n">
        <v>32.938</v>
      </c>
      <c r="L201" s="6" t="n">
        <v>34</v>
      </c>
      <c r="N201" s="18" t="n">
        <v>0.64098</v>
      </c>
      <c r="O201" s="18" t="n">
        <v>0.001739</v>
      </c>
      <c r="P201" s="18" t="n">
        <v>0.309168</v>
      </c>
      <c r="Q201" s="18" t="n">
        <v>0.672725</v>
      </c>
    </row>
    <row r="202">
      <c r="A202" s="30" t="n">
        <v>4309605</v>
      </c>
      <c r="B202" s="5" t="inlineStr">
        <is>
          <t>Horizontina</t>
        </is>
      </c>
      <c r="C202" s="19">
        <f>N202</f>
        <v/>
      </c>
      <c r="D202" s="19">
        <f>O202</f>
        <v/>
      </c>
      <c r="E202" s="19">
        <f>P202</f>
        <v/>
      </c>
      <c r="F202" s="19">
        <f>Q202</f>
        <v/>
      </c>
      <c r="G202" s="19">
        <f>C202+D202+E202+F202</f>
        <v/>
      </c>
      <c r="H202" s="6" t="n">
        <v>0</v>
      </c>
      <c r="I202" s="31" t="n">
        <v>0</v>
      </c>
      <c r="J202" s="6" t="n">
        <v>12</v>
      </c>
      <c r="K202" s="12" t="n">
        <v>0.103</v>
      </c>
      <c r="L202" s="6" t="n">
        <v>293.5</v>
      </c>
      <c r="N202" s="18" t="n">
        <v>0.002008</v>
      </c>
      <c r="O202" s="18" t="n">
        <v>0</v>
      </c>
      <c r="P202" s="18" t="n">
        <v>0</v>
      </c>
      <c r="Q202" s="18" t="n">
        <v>0.038138</v>
      </c>
    </row>
    <row r="203">
      <c r="A203" s="30" t="n">
        <v>4309654</v>
      </c>
      <c r="B203" s="5" t="inlineStr">
        <is>
          <t>Hulha Negra</t>
        </is>
      </c>
      <c r="C203" s="19">
        <f>N203</f>
        <v/>
      </c>
      <c r="D203" s="19">
        <f>O203</f>
        <v/>
      </c>
      <c r="E203" s="19">
        <f>P203</f>
        <v/>
      </c>
      <c r="F203" s="19">
        <f>Q203</f>
        <v/>
      </c>
      <c r="G203" s="19">
        <f>C203+D203+E203+F203</f>
        <v/>
      </c>
      <c r="H203" s="6" t="n">
        <v>0</v>
      </c>
      <c r="I203" s="31" t="n">
        <v>0</v>
      </c>
      <c r="J203" s="6" t="n">
        <v>0</v>
      </c>
      <c r="K203" s="12" t="n">
        <v>0</v>
      </c>
      <c r="L203" s="6" t="n">
        <v>245.3</v>
      </c>
      <c r="N203" s="18" t="n">
        <v>0</v>
      </c>
      <c r="O203" s="18" t="n">
        <v>0.207863</v>
      </c>
      <c r="P203" s="18" t="n">
        <v>0.038086</v>
      </c>
      <c r="Q203" s="18" t="n">
        <v>0.01391</v>
      </c>
    </row>
    <row r="204">
      <c r="A204" s="30" t="n">
        <v>4309704</v>
      </c>
      <c r="B204" s="5" t="inlineStr">
        <is>
          <t>Humaitá</t>
        </is>
      </c>
      <c r="C204" s="19">
        <f>N204</f>
        <v/>
      </c>
      <c r="D204" s="19">
        <f>O204</f>
        <v/>
      </c>
      <c r="E204" s="19">
        <f>P204</f>
        <v/>
      </c>
      <c r="F204" s="19">
        <f>Q204</f>
        <v/>
      </c>
      <c r="G204" s="19">
        <f>C204+D204+E204+F204</f>
        <v/>
      </c>
      <c r="H204" s="6" t="n">
        <v>0</v>
      </c>
      <c r="I204" s="31" t="n">
        <v>0</v>
      </c>
      <c r="J204" s="6" t="n">
        <v>0</v>
      </c>
      <c r="K204" s="12" t="n">
        <v>0</v>
      </c>
      <c r="L204" s="6" t="n">
        <v>276.4</v>
      </c>
      <c r="N204" s="18" t="n">
        <v>0</v>
      </c>
      <c r="O204" s="18" t="n">
        <v>0</v>
      </c>
      <c r="P204" s="18" t="n">
        <v>0</v>
      </c>
      <c r="Q204" s="18" t="n">
        <v>0.030269</v>
      </c>
    </row>
    <row r="205">
      <c r="A205" s="30" t="n">
        <v>4309753</v>
      </c>
      <c r="B205" s="5" t="inlineStr">
        <is>
          <t>Ibarama</t>
        </is>
      </c>
      <c r="C205" s="19">
        <f>N205</f>
        <v/>
      </c>
      <c r="D205" s="19">
        <f>O205</f>
        <v/>
      </c>
      <c r="E205" s="19">
        <f>P205</f>
        <v/>
      </c>
      <c r="F205" s="19">
        <f>Q205</f>
        <v/>
      </c>
      <c r="G205" s="19">
        <f>C205+D205+E205+F205</f>
        <v/>
      </c>
      <c r="H205" s="6" t="n">
        <v>0</v>
      </c>
      <c r="I205" s="31" t="n">
        <v>1</v>
      </c>
      <c r="J205" s="6" t="n">
        <v>5063</v>
      </c>
      <c r="K205" s="12" t="n">
        <v>43.542</v>
      </c>
      <c r="L205" s="6" t="n">
        <v>77.7</v>
      </c>
      <c r="N205" s="18" t="n">
        <v>0.8473309999999999</v>
      </c>
      <c r="O205" s="18" t="n">
        <v>0.251035</v>
      </c>
      <c r="P205" s="18" t="n">
        <v>0.199846</v>
      </c>
      <c r="Q205" s="18" t="n">
        <v>0.406601</v>
      </c>
    </row>
    <row r="206">
      <c r="A206" s="30" t="n">
        <v>4309803</v>
      </c>
      <c r="B206" s="5" t="inlineStr">
        <is>
          <t>Ibiaçá</t>
        </is>
      </c>
      <c r="C206" s="19">
        <f>N206</f>
        <v/>
      </c>
      <c r="D206" s="19">
        <f>O206</f>
        <v/>
      </c>
      <c r="E206" s="19">
        <f>P206</f>
        <v/>
      </c>
      <c r="F206" s="19">
        <f>Q206</f>
        <v/>
      </c>
      <c r="G206" s="19">
        <f>C206+D206+E206+F206</f>
        <v/>
      </c>
      <c r="H206" s="6" t="n">
        <v>0</v>
      </c>
      <c r="I206" s="31" t="n">
        <v>0</v>
      </c>
      <c r="J206" s="6" t="n">
        <v>0</v>
      </c>
      <c r="K206" s="12" t="n">
        <v>0</v>
      </c>
      <c r="L206" s="6" t="n">
        <v>181.6</v>
      </c>
      <c r="N206" s="18" t="n">
        <v>0</v>
      </c>
      <c r="O206" s="18" t="n">
        <v>0.111131</v>
      </c>
      <c r="P206" s="18" t="n">
        <v>0.150884</v>
      </c>
      <c r="Q206" s="18" t="n">
        <v>0.23772</v>
      </c>
    </row>
    <row r="207">
      <c r="A207" s="30" t="n">
        <v>4309902</v>
      </c>
      <c r="B207" s="5" t="inlineStr">
        <is>
          <t>Ibiraiaras</t>
        </is>
      </c>
      <c r="C207" s="19">
        <f>N207</f>
        <v/>
      </c>
      <c r="D207" s="19">
        <f>O207</f>
        <v/>
      </c>
      <c r="E207" s="19">
        <f>P207</f>
        <v/>
      </c>
      <c r="F207" s="19">
        <f>Q207</f>
        <v/>
      </c>
      <c r="G207" s="19">
        <f>C207+D207+E207+F207</f>
        <v/>
      </c>
      <c r="H207" s="6" t="n">
        <v>0</v>
      </c>
      <c r="I207" s="31" t="n">
        <v>0</v>
      </c>
      <c r="J207" s="6" t="n">
        <v>133</v>
      </c>
      <c r="K207" s="12" t="n">
        <v>1.144</v>
      </c>
      <c r="L207" s="6" t="n">
        <v>159.7</v>
      </c>
      <c r="N207" s="18" t="n">
        <v>0.022259</v>
      </c>
      <c r="O207" s="18" t="n">
        <v>0.158632</v>
      </c>
      <c r="P207" s="18" t="n">
        <v>0.282285</v>
      </c>
      <c r="Q207" s="18" t="n">
        <v>0.52361</v>
      </c>
    </row>
    <row r="208">
      <c r="A208" s="30" t="n">
        <v>4309951</v>
      </c>
      <c r="B208" s="5" t="inlineStr">
        <is>
          <t>Ibirapuitã</t>
        </is>
      </c>
      <c r="C208" s="19">
        <f>N208</f>
        <v/>
      </c>
      <c r="D208" s="19">
        <f>O208</f>
        <v/>
      </c>
      <c r="E208" s="19">
        <f>P208</f>
        <v/>
      </c>
      <c r="F208" s="19">
        <f>Q208</f>
        <v/>
      </c>
      <c r="G208" s="19">
        <f>C208+D208+E208+F208</f>
        <v/>
      </c>
      <c r="H208" s="6" t="n">
        <v>0</v>
      </c>
      <c r="I208" s="31" t="n">
        <v>0</v>
      </c>
      <c r="J208" s="6" t="n">
        <v>0</v>
      </c>
      <c r="K208" s="12" t="n">
        <v>0</v>
      </c>
      <c r="L208" s="6" t="n">
        <v>113.3</v>
      </c>
      <c r="N208" s="18" t="n">
        <v>0</v>
      </c>
      <c r="O208" s="18" t="n">
        <v>0.069856</v>
      </c>
      <c r="P208" s="18" t="n">
        <v>0.183723</v>
      </c>
      <c r="Q208" s="18" t="n">
        <v>0.411294</v>
      </c>
    </row>
    <row r="209">
      <c r="A209" s="30" t="n">
        <v>4310009</v>
      </c>
      <c r="B209" s="5" t="inlineStr">
        <is>
          <t>Ibirubá</t>
        </is>
      </c>
      <c r="C209" s="19">
        <f>N209</f>
        <v/>
      </c>
      <c r="D209" s="19">
        <f>O209</f>
        <v/>
      </c>
      <c r="E209" s="19">
        <f>P209</f>
        <v/>
      </c>
      <c r="F209" s="19">
        <f>Q209</f>
        <v/>
      </c>
      <c r="G209" s="19">
        <f>C209+D209+E209+F209</f>
        <v/>
      </c>
      <c r="H209" s="6" t="n">
        <v>0</v>
      </c>
      <c r="I209" s="31" t="n">
        <v>0</v>
      </c>
      <c r="J209" s="6" t="n">
        <v>0</v>
      </c>
      <c r="K209" s="12" t="n">
        <v>0</v>
      </c>
      <c r="L209" s="6" t="n">
        <v>138.3</v>
      </c>
      <c r="N209" s="18" t="n">
        <v>0</v>
      </c>
      <c r="O209" s="18" t="n">
        <v>1.257295</v>
      </c>
      <c r="P209" s="18" t="n">
        <v>0.72456</v>
      </c>
      <c r="Q209" s="18" t="n">
        <v>0.557702</v>
      </c>
    </row>
    <row r="210">
      <c r="A210" s="30" t="n">
        <v>4310108</v>
      </c>
      <c r="B210" s="5" t="inlineStr">
        <is>
          <t>Igrejinha</t>
        </is>
      </c>
      <c r="C210" s="19">
        <f>N210</f>
        <v/>
      </c>
      <c r="D210" s="19">
        <f>O210</f>
        <v/>
      </c>
      <c r="E210" s="19">
        <f>P210</f>
        <v/>
      </c>
      <c r="F210" s="19">
        <f>Q210</f>
        <v/>
      </c>
      <c r="G210" s="19">
        <f>C210+D210+E210+F210</f>
        <v/>
      </c>
      <c r="H210" s="6" t="n">
        <v>0</v>
      </c>
      <c r="I210" s="31" t="n">
        <v>0</v>
      </c>
      <c r="J210" s="6" t="n">
        <v>0</v>
      </c>
      <c r="K210" s="12" t="n">
        <v>0</v>
      </c>
      <c r="L210" s="6" t="n">
        <v>156.3</v>
      </c>
      <c r="N210" s="18" t="n">
        <v>0</v>
      </c>
      <c r="O210" s="18" t="n">
        <v>6.472664</v>
      </c>
      <c r="P210" s="18" t="n">
        <v>0.671827</v>
      </c>
      <c r="Q210" s="18" t="n">
        <v>2.401506</v>
      </c>
    </row>
    <row r="211">
      <c r="A211" s="30" t="n">
        <v>4310207</v>
      </c>
      <c r="B211" s="5" t="inlineStr">
        <is>
          <t>Ijuí</t>
        </is>
      </c>
      <c r="C211" s="19">
        <f>N211</f>
        <v/>
      </c>
      <c r="D211" s="19">
        <f>O211</f>
        <v/>
      </c>
      <c r="E211" s="19">
        <f>P211</f>
        <v/>
      </c>
      <c r="F211" s="19">
        <f>Q211</f>
        <v/>
      </c>
      <c r="G211" s="19">
        <f>C211+D211+E211+F211</f>
        <v/>
      </c>
      <c r="H211" s="6" t="n">
        <v>0</v>
      </c>
      <c r="I211" s="31" t="n">
        <v>0</v>
      </c>
      <c r="J211" s="6" t="n">
        <v>0</v>
      </c>
      <c r="K211" s="12" t="n">
        <v>0</v>
      </c>
      <c r="L211" s="6" t="n">
        <v>206.4</v>
      </c>
      <c r="N211" s="18" t="n">
        <v>0</v>
      </c>
      <c r="O211" s="18" t="n">
        <v>5.421773</v>
      </c>
      <c r="P211" s="18" t="n">
        <v>0.790131</v>
      </c>
      <c r="Q211" s="18" t="n">
        <v>0.295679</v>
      </c>
    </row>
    <row r="212">
      <c r="A212" s="30" t="n">
        <v>4310306</v>
      </c>
      <c r="B212" s="5" t="inlineStr">
        <is>
          <t>Ilópolis</t>
        </is>
      </c>
      <c r="C212" s="19">
        <f>N212</f>
        <v/>
      </c>
      <c r="D212" s="19">
        <f>O212</f>
        <v/>
      </c>
      <c r="E212" s="19">
        <f>P212</f>
        <v/>
      </c>
      <c r="F212" s="19">
        <f>Q212</f>
        <v/>
      </c>
      <c r="G212" s="19">
        <f>C212+D212+E212+F212</f>
        <v/>
      </c>
      <c r="H212" s="6" t="n">
        <v>0</v>
      </c>
      <c r="I212" s="31" t="n">
        <v>0</v>
      </c>
      <c r="J212" s="6" t="n">
        <v>360</v>
      </c>
      <c r="K212" s="12" t="n">
        <v>3.096</v>
      </c>
      <c r="L212" s="6" t="n">
        <v>83.5</v>
      </c>
      <c r="N212" s="18" t="n">
        <v>0.060249</v>
      </c>
      <c r="O212" s="18" t="n">
        <v>0.481425</v>
      </c>
      <c r="P212" s="18" t="n">
        <v>0.346459</v>
      </c>
      <c r="Q212" s="18" t="n">
        <v>0.740599</v>
      </c>
    </row>
    <row r="213">
      <c r="A213" s="30" t="n">
        <v>4310330</v>
      </c>
      <c r="B213" s="5" t="inlineStr">
        <is>
          <t>Imbé</t>
        </is>
      </c>
      <c r="C213" s="19">
        <f>N213</f>
        <v/>
      </c>
      <c r="D213" s="19">
        <f>O213</f>
        <v/>
      </c>
      <c r="E213" s="19">
        <f>P213</f>
        <v/>
      </c>
      <c r="F213" s="19">
        <f>Q213</f>
        <v/>
      </c>
      <c r="G213" s="19">
        <f>C213+D213+E213+F213</f>
        <v/>
      </c>
      <c r="H213" s="6" t="n">
        <v>0</v>
      </c>
      <c r="I213" s="31" t="n">
        <v>0</v>
      </c>
      <c r="J213" s="6" t="n">
        <v>0</v>
      </c>
      <c r="K213" s="12" t="n">
        <v>0</v>
      </c>
      <c r="L213" s="6" t="n">
        <v>223.4</v>
      </c>
      <c r="N213" s="18" t="n">
        <v>0</v>
      </c>
      <c r="O213" s="18" t="n">
        <v>0.200991</v>
      </c>
      <c r="P213" s="18" t="n">
        <v>0.260826</v>
      </c>
      <c r="Q213" s="18" t="n">
        <v>0.875798</v>
      </c>
    </row>
    <row r="214">
      <c r="A214" s="30" t="n">
        <v>4310363</v>
      </c>
      <c r="B214" s="5" t="inlineStr">
        <is>
          <t>Imigrante</t>
        </is>
      </c>
      <c r="C214" s="19">
        <f>N214</f>
        <v/>
      </c>
      <c r="D214" s="19">
        <f>O214</f>
        <v/>
      </c>
      <c r="E214" s="19">
        <f>P214</f>
        <v/>
      </c>
      <c r="F214" s="19">
        <f>Q214</f>
        <v/>
      </c>
      <c r="G214" s="19">
        <f>C214+D214+E214+F214</f>
        <v/>
      </c>
      <c r="H214" s="6" t="n">
        <v>0</v>
      </c>
      <c r="I214" s="31" t="n">
        <v>0</v>
      </c>
      <c r="J214" s="6" t="n">
        <v>0</v>
      </c>
      <c r="K214" s="12" t="n">
        <v>0</v>
      </c>
      <c r="L214" s="6" t="n">
        <v>69.8</v>
      </c>
      <c r="N214" s="18" t="n">
        <v>0</v>
      </c>
      <c r="O214" s="18" t="n">
        <v>0.819589</v>
      </c>
      <c r="P214" s="18" t="n">
        <v>0.370506</v>
      </c>
      <c r="Q214" s="18" t="n">
        <v>0.9106880000000001</v>
      </c>
    </row>
    <row r="215">
      <c r="A215" s="30" t="n">
        <v>4310405</v>
      </c>
      <c r="B215" s="5" t="inlineStr">
        <is>
          <t>Independência</t>
        </is>
      </c>
      <c r="C215" s="19">
        <f>N215</f>
        <v/>
      </c>
      <c r="D215" s="19">
        <f>O215</f>
        <v/>
      </c>
      <c r="E215" s="19">
        <f>P215</f>
        <v/>
      </c>
      <c r="F215" s="19">
        <f>Q215</f>
        <v/>
      </c>
      <c r="G215" s="19">
        <f>C215+D215+E215+F215</f>
        <v/>
      </c>
      <c r="H215" s="6" t="n">
        <v>0</v>
      </c>
      <c r="I215" s="31" t="n">
        <v>0</v>
      </c>
      <c r="J215" s="6" t="n">
        <v>0</v>
      </c>
      <c r="K215" s="12" t="n">
        <v>0</v>
      </c>
      <c r="L215" s="6" t="n">
        <v>259.6</v>
      </c>
      <c r="N215" s="18" t="n">
        <v>0</v>
      </c>
      <c r="O215" s="18" t="n">
        <v>0.083609</v>
      </c>
      <c r="P215" s="18" t="n">
        <v>0.070642</v>
      </c>
      <c r="Q215" s="18" t="n">
        <v>0.038862</v>
      </c>
    </row>
    <row r="216">
      <c r="A216" s="30" t="n">
        <v>4310413</v>
      </c>
      <c r="B216" s="5" t="inlineStr">
        <is>
          <t>Inhacorá</t>
        </is>
      </c>
      <c r="C216" s="19">
        <f>N216</f>
        <v/>
      </c>
      <c r="D216" s="19">
        <f>O216</f>
        <v/>
      </c>
      <c r="E216" s="19">
        <f>P216</f>
        <v/>
      </c>
      <c r="F216" s="19">
        <f>Q216</f>
        <v/>
      </c>
      <c r="G216" s="19">
        <f>C216+D216+E216+F216</f>
        <v/>
      </c>
      <c r="H216" s="6" t="n">
        <v>0</v>
      </c>
      <c r="I216" s="31" t="n">
        <v>0</v>
      </c>
      <c r="J216" s="6" t="n">
        <v>0</v>
      </c>
      <c r="K216" s="12" t="n">
        <v>0</v>
      </c>
      <c r="L216" s="6" t="n">
        <v>250</v>
      </c>
      <c r="N216" s="18" t="n">
        <v>0</v>
      </c>
      <c r="O216" s="18" t="n">
        <v>0.010986</v>
      </c>
      <c r="P216" s="18" t="n">
        <v>0.022772</v>
      </c>
      <c r="Q216" s="18" t="n">
        <v>0.026298</v>
      </c>
    </row>
    <row r="217">
      <c r="A217" s="30" t="n">
        <v>4310439</v>
      </c>
      <c r="B217" s="5" t="inlineStr">
        <is>
          <t>Ipê</t>
        </is>
      </c>
      <c r="C217" s="19">
        <f>N217</f>
        <v/>
      </c>
      <c r="D217" s="19">
        <f>O217</f>
        <v/>
      </c>
      <c r="E217" s="19">
        <f>P217</f>
        <v/>
      </c>
      <c r="F217" s="19">
        <f>Q217</f>
        <v/>
      </c>
      <c r="G217" s="19">
        <f>C217+D217+E217+F217</f>
        <v/>
      </c>
      <c r="H217" s="6" t="n">
        <v>0</v>
      </c>
      <c r="I217" s="31" t="n">
        <v>0</v>
      </c>
      <c r="J217" s="6" t="n">
        <v>8</v>
      </c>
      <c r="K217" s="12" t="n">
        <v>0.06900000000000001</v>
      </c>
      <c r="L217" s="6" t="n">
        <v>149</v>
      </c>
      <c r="N217" s="18" t="n">
        <v>0.001339</v>
      </c>
      <c r="O217" s="18" t="n">
        <v>0.251165</v>
      </c>
      <c r="P217" s="18" t="n">
        <v>0.206436</v>
      </c>
      <c r="Q217" s="18" t="n">
        <v>0.6973549999999999</v>
      </c>
    </row>
    <row r="218">
      <c r="A218" s="30" t="n">
        <v>4310462</v>
      </c>
      <c r="B218" s="5" t="inlineStr">
        <is>
          <t>Ipiranga do Sul</t>
        </is>
      </c>
      <c r="C218" s="19">
        <f>N218</f>
        <v/>
      </c>
      <c r="D218" s="19">
        <f>O218</f>
        <v/>
      </c>
      <c r="E218" s="19">
        <f>P218</f>
        <v/>
      </c>
      <c r="F218" s="19">
        <f>Q218</f>
        <v/>
      </c>
      <c r="G218" s="19">
        <f>C218+D218+E218+F218</f>
        <v/>
      </c>
      <c r="H218" s="6" t="n">
        <v>0</v>
      </c>
      <c r="I218" s="31" t="n">
        <v>0</v>
      </c>
      <c r="J218" s="6" t="n">
        <v>0</v>
      </c>
      <c r="K218" s="12" t="n">
        <v>0</v>
      </c>
      <c r="L218" s="6" t="n">
        <v>190.2</v>
      </c>
      <c r="N218" s="18" t="n">
        <v>0</v>
      </c>
      <c r="O218" s="18" t="n">
        <v>0.0485</v>
      </c>
      <c r="P218" s="18" t="n">
        <v>0.069822</v>
      </c>
      <c r="Q218" s="18" t="n">
        <v>0.098554</v>
      </c>
    </row>
    <row r="219">
      <c r="A219" s="30" t="n">
        <v>4310504</v>
      </c>
      <c r="B219" s="5" t="inlineStr">
        <is>
          <t>Iraí</t>
        </is>
      </c>
      <c r="C219" s="19">
        <f>N219</f>
        <v/>
      </c>
      <c r="D219" s="19">
        <f>O219</f>
        <v/>
      </c>
      <c r="E219" s="19">
        <f>P219</f>
        <v/>
      </c>
      <c r="F219" s="19">
        <f>Q219</f>
        <v/>
      </c>
      <c r="G219" s="19">
        <f>C219+D219+E219+F219</f>
        <v/>
      </c>
      <c r="H219" s="6" t="n">
        <v>0</v>
      </c>
      <c r="I219" s="31" t="n">
        <v>0</v>
      </c>
      <c r="J219" s="6" t="n">
        <v>567</v>
      </c>
      <c r="K219" s="12" t="n">
        <v>4.876</v>
      </c>
      <c r="L219" s="6" t="n">
        <v>278</v>
      </c>
      <c r="N219" s="18" t="n">
        <v>0.094892</v>
      </c>
      <c r="O219" s="18" t="n">
        <v>0</v>
      </c>
      <c r="P219" s="18" t="n">
        <v>0</v>
      </c>
      <c r="Q219" s="18" t="n">
        <v>0.047291</v>
      </c>
    </row>
    <row r="220">
      <c r="A220" s="30" t="n">
        <v>4310538</v>
      </c>
      <c r="B220" s="5" t="inlineStr">
        <is>
          <t>Itaara</t>
        </is>
      </c>
      <c r="C220" s="19">
        <f>N220</f>
        <v/>
      </c>
      <c r="D220" s="19">
        <f>O220</f>
        <v/>
      </c>
      <c r="E220" s="19">
        <f>P220</f>
        <v/>
      </c>
      <c r="F220" s="19">
        <f>Q220</f>
        <v/>
      </c>
      <c r="G220" s="19">
        <f>C220+D220+E220+F220</f>
        <v/>
      </c>
      <c r="H220" s="6" t="n">
        <v>0</v>
      </c>
      <c r="I220" s="31" t="n">
        <v>0</v>
      </c>
      <c r="J220" s="6" t="n">
        <v>5</v>
      </c>
      <c r="K220" s="12" t="n">
        <v>0.043</v>
      </c>
      <c r="L220" s="6" t="n">
        <v>131.3</v>
      </c>
      <c r="N220" s="18" t="n">
        <v>0.000837</v>
      </c>
      <c r="O220" s="18" t="n">
        <v>0.091986</v>
      </c>
      <c r="P220" s="18" t="n">
        <v>0.212415</v>
      </c>
      <c r="Q220" s="18" t="n">
        <v>0.213568</v>
      </c>
    </row>
    <row r="221">
      <c r="A221" s="30" t="n">
        <v>4310553</v>
      </c>
      <c r="B221" s="5" t="inlineStr">
        <is>
          <t>Itacurubi</t>
        </is>
      </c>
      <c r="C221" s="19">
        <f>N221</f>
        <v/>
      </c>
      <c r="D221" s="19">
        <f>O221</f>
        <v/>
      </c>
      <c r="E221" s="19">
        <f>P221</f>
        <v/>
      </c>
      <c r="F221" s="19">
        <f>Q221</f>
        <v/>
      </c>
      <c r="G221" s="19">
        <f>C221+D221+E221+F221</f>
        <v/>
      </c>
      <c r="H221" s="6" t="n">
        <v>0</v>
      </c>
      <c r="I221" s="31" t="n">
        <v>0</v>
      </c>
      <c r="J221" s="6" t="n">
        <v>0</v>
      </c>
      <c r="K221" s="12" t="n">
        <v>0</v>
      </c>
      <c r="L221" s="6" t="n">
        <v>292.9</v>
      </c>
      <c r="N221" s="18" t="n">
        <v>0</v>
      </c>
      <c r="O221" s="18" t="n">
        <v>0</v>
      </c>
      <c r="P221" s="18" t="n">
        <v>0</v>
      </c>
      <c r="Q221" s="18" t="n">
        <v>0.007191</v>
      </c>
    </row>
    <row r="222">
      <c r="A222" s="30" t="n">
        <v>4310579</v>
      </c>
      <c r="B222" s="5" t="inlineStr">
        <is>
          <t>Itapuca</t>
        </is>
      </c>
      <c r="C222" s="19">
        <f>N222</f>
        <v/>
      </c>
      <c r="D222" s="19">
        <f>O222</f>
        <v/>
      </c>
      <c r="E222" s="19">
        <f>P222</f>
        <v/>
      </c>
      <c r="F222" s="19">
        <f>Q222</f>
        <v/>
      </c>
      <c r="G222" s="19">
        <f>C222+D222+E222+F222</f>
        <v/>
      </c>
      <c r="H222" s="6" t="n">
        <v>0</v>
      </c>
      <c r="I222" s="31" t="n">
        <v>0</v>
      </c>
      <c r="J222" s="6" t="n">
        <v>1000</v>
      </c>
      <c r="K222" s="12" t="n">
        <v>8.6</v>
      </c>
      <c r="L222" s="6" t="n">
        <v>98.7</v>
      </c>
      <c r="N222" s="18" t="n">
        <v>0.167358</v>
      </c>
      <c r="O222" s="18" t="n">
        <v>0.098576</v>
      </c>
      <c r="P222" s="18" t="n">
        <v>0.099436</v>
      </c>
      <c r="Q222" s="18" t="n">
        <v>0.434278</v>
      </c>
    </row>
    <row r="223">
      <c r="A223" s="30" t="n">
        <v>4310603</v>
      </c>
      <c r="B223" s="5" t="inlineStr">
        <is>
          <t>Itaqui</t>
        </is>
      </c>
      <c r="C223" s="19">
        <f>N223</f>
        <v/>
      </c>
      <c r="D223" s="19">
        <f>O223</f>
        <v/>
      </c>
      <c r="E223" s="19">
        <f>P223</f>
        <v/>
      </c>
      <c r="F223" s="19">
        <f>Q223</f>
        <v/>
      </c>
      <c r="G223" s="19">
        <f>C223+D223+E223+F223</f>
        <v/>
      </c>
      <c r="H223" s="6" t="n">
        <v>0</v>
      </c>
      <c r="I223" s="31" t="n">
        <v>0</v>
      </c>
      <c r="J223" s="6" t="n">
        <v>0</v>
      </c>
      <c r="K223" s="12" t="n">
        <v>0</v>
      </c>
      <c r="L223" s="6" t="n">
        <v>368.5</v>
      </c>
      <c r="N223" s="18" t="n">
        <v>0</v>
      </c>
      <c r="O223" s="18" t="n">
        <v>0</v>
      </c>
      <c r="P223" s="18" t="n">
        <v>0</v>
      </c>
      <c r="Q223" s="18" t="n">
        <v>0.002152</v>
      </c>
    </row>
    <row r="224">
      <c r="A224" s="30" t="n">
        <v>4310652</v>
      </c>
      <c r="B224" s="5" t="inlineStr">
        <is>
          <t>Itati</t>
        </is>
      </c>
      <c r="C224" s="19">
        <f>N224</f>
        <v/>
      </c>
      <c r="D224" s="19">
        <f>O224</f>
        <v/>
      </c>
      <c r="E224" s="19">
        <f>P224</f>
        <v/>
      </c>
      <c r="F224" s="19">
        <f>Q224</f>
        <v/>
      </c>
      <c r="G224" s="19">
        <f>C224+D224+E224+F224</f>
        <v/>
      </c>
      <c r="H224" s="6" t="n">
        <v>0</v>
      </c>
      <c r="I224" s="31" t="n">
        <v>0</v>
      </c>
      <c r="J224" s="6" t="n">
        <v>0</v>
      </c>
      <c r="K224" s="12" t="n">
        <v>0</v>
      </c>
      <c r="L224" s="6" t="n">
        <v>218.1</v>
      </c>
      <c r="N224" s="18" t="n">
        <v>0</v>
      </c>
      <c r="O224" s="18" t="n">
        <v>0.046571</v>
      </c>
      <c r="P224" s="18" t="n">
        <v>0.037748</v>
      </c>
      <c r="Q224" s="18" t="n">
        <v>0.30074</v>
      </c>
    </row>
    <row r="225">
      <c r="A225" s="30" t="n">
        <v>4310702</v>
      </c>
      <c r="B225" s="5" t="inlineStr">
        <is>
          <t>Itatiba do Sul</t>
        </is>
      </c>
      <c r="C225" s="19">
        <f>N225</f>
        <v/>
      </c>
      <c r="D225" s="19">
        <f>O225</f>
        <v/>
      </c>
      <c r="E225" s="19">
        <f>P225</f>
        <v/>
      </c>
      <c r="F225" s="19">
        <f>Q225</f>
        <v/>
      </c>
      <c r="G225" s="19">
        <f>C225+D225+E225+F225</f>
        <v/>
      </c>
      <c r="H225" s="6" t="n">
        <v>0</v>
      </c>
      <c r="I225" s="31" t="n">
        <v>0</v>
      </c>
      <c r="J225" s="6" t="n">
        <v>480</v>
      </c>
      <c r="K225" s="12" t="n">
        <v>4.128</v>
      </c>
      <c r="L225" s="6" t="n">
        <v>253.9</v>
      </c>
      <c r="N225" s="18" t="n">
        <v>0.080332</v>
      </c>
      <c r="O225" s="18" t="n">
        <v>0.026521</v>
      </c>
      <c r="P225" s="18" t="n">
        <v>0.040943</v>
      </c>
      <c r="Q225" s="18" t="n">
        <v>0.053838</v>
      </c>
    </row>
    <row r="226">
      <c r="A226" s="30" t="n">
        <v>4310751</v>
      </c>
      <c r="B226" s="5" t="inlineStr">
        <is>
          <t>Ivorá</t>
        </is>
      </c>
      <c r="C226" s="19">
        <f>N226</f>
        <v/>
      </c>
      <c r="D226" s="19">
        <f>O226</f>
        <v/>
      </c>
      <c r="E226" s="19">
        <f>P226</f>
        <v/>
      </c>
      <c r="F226" s="19">
        <f>Q226</f>
        <v/>
      </c>
      <c r="G226" s="19">
        <f>C226+D226+E226+F226</f>
        <v/>
      </c>
      <c r="H226" s="6" t="n">
        <v>0</v>
      </c>
      <c r="I226" s="31" t="n">
        <v>0</v>
      </c>
      <c r="J226" s="6" t="n">
        <v>339</v>
      </c>
      <c r="K226" s="12" t="n">
        <v>2.915</v>
      </c>
      <c r="L226" s="6" t="n">
        <v>114.8</v>
      </c>
      <c r="N226" s="18" t="n">
        <v>0.056734</v>
      </c>
      <c r="O226" s="18" t="n">
        <v>0.075417</v>
      </c>
      <c r="P226" s="18" t="n">
        <v>0.109348</v>
      </c>
      <c r="Q226" s="18" t="n">
        <v>0.157278</v>
      </c>
    </row>
    <row r="227">
      <c r="A227" s="30" t="n">
        <v>4310801</v>
      </c>
      <c r="B227" s="5" t="inlineStr">
        <is>
          <t>Ivoti</t>
        </is>
      </c>
      <c r="C227" s="19">
        <f>N227</f>
        <v/>
      </c>
      <c r="D227" s="19">
        <f>O227</f>
        <v/>
      </c>
      <c r="E227" s="19">
        <f>P227</f>
        <v/>
      </c>
      <c r="F227" s="19">
        <f>Q227</f>
        <v/>
      </c>
      <c r="G227" s="19">
        <f>C227+D227+E227+F227</f>
        <v/>
      </c>
      <c r="H227" s="6" t="n">
        <v>0</v>
      </c>
      <c r="I227" s="31" t="n">
        <v>0</v>
      </c>
      <c r="J227" s="6" t="n">
        <v>0</v>
      </c>
      <c r="K227" s="12" t="n">
        <v>0</v>
      </c>
      <c r="L227" s="6" t="n">
        <v>121.2</v>
      </c>
      <c r="N227" s="18" t="n">
        <v>0</v>
      </c>
      <c r="O227" s="18" t="n">
        <v>1.991576</v>
      </c>
      <c r="P227" s="18" t="n">
        <v>0.931396</v>
      </c>
      <c r="Q227" s="18" t="n">
        <v>2.545472</v>
      </c>
    </row>
    <row r="228">
      <c r="A228" s="30" t="n">
        <v>4310850</v>
      </c>
      <c r="B228" s="5" t="inlineStr">
        <is>
          <t>Jaboticaba</t>
        </is>
      </c>
      <c r="C228" s="19">
        <f>N228</f>
        <v/>
      </c>
      <c r="D228" s="19">
        <f>O228</f>
        <v/>
      </c>
      <c r="E228" s="19">
        <f>P228</f>
        <v/>
      </c>
      <c r="F228" s="19">
        <f>Q228</f>
        <v/>
      </c>
      <c r="G228" s="19">
        <f>C228+D228+E228+F228</f>
        <v/>
      </c>
      <c r="H228" s="6" t="n">
        <v>0</v>
      </c>
      <c r="I228" s="31" t="n">
        <v>0</v>
      </c>
      <c r="J228" s="6" t="n">
        <v>8</v>
      </c>
      <c r="K228" s="12" t="n">
        <v>0.06900000000000001</v>
      </c>
      <c r="L228" s="6" t="n">
        <v>238.7</v>
      </c>
      <c r="N228" s="18" t="n">
        <v>0.001339</v>
      </c>
      <c r="O228" s="18" t="n">
        <v>0.02806</v>
      </c>
      <c r="P228" s="18" t="n">
        <v>0.054932</v>
      </c>
      <c r="Q228" s="18" t="n">
        <v>0.054319</v>
      </c>
    </row>
    <row r="229">
      <c r="A229" s="30" t="n">
        <v>4310876</v>
      </c>
      <c r="B229" s="5" t="inlineStr">
        <is>
          <t>Jacuizinho</t>
        </is>
      </c>
      <c r="C229" s="19">
        <f>N229</f>
        <v/>
      </c>
      <c r="D229" s="19">
        <f>O229</f>
        <v/>
      </c>
      <c r="E229" s="19">
        <f>P229</f>
        <v/>
      </c>
      <c r="F229" s="19">
        <f>Q229</f>
        <v/>
      </c>
      <c r="G229" s="19">
        <f>C229+D229+E229+F229</f>
        <v/>
      </c>
      <c r="H229" s="6" t="n">
        <v>0</v>
      </c>
      <c r="I229" s="31" t="n">
        <v>0</v>
      </c>
      <c r="J229" s="6" t="n">
        <v>900</v>
      </c>
      <c r="K229" s="12" t="n">
        <v>7.74</v>
      </c>
      <c r="L229" s="6" t="n">
        <v>89.8</v>
      </c>
      <c r="N229" s="18" t="n">
        <v>0.150622</v>
      </c>
      <c r="O229" s="18" t="n">
        <v>0.000888</v>
      </c>
      <c r="P229" s="18" t="n">
        <v>0.132539</v>
      </c>
      <c r="Q229" s="18" t="n">
        <v>0.275831</v>
      </c>
    </row>
    <row r="230">
      <c r="A230" s="30" t="n">
        <v>4310900</v>
      </c>
      <c r="B230" s="5" t="inlineStr">
        <is>
          <t>Jacutinga</t>
        </is>
      </c>
      <c r="C230" s="19">
        <f>N230</f>
        <v/>
      </c>
      <c r="D230" s="19">
        <f>O230</f>
        <v/>
      </c>
      <c r="E230" s="19">
        <f>P230</f>
        <v/>
      </c>
      <c r="F230" s="19">
        <f>Q230</f>
        <v/>
      </c>
      <c r="G230" s="19">
        <f>C230+D230+E230+F230</f>
        <v/>
      </c>
      <c r="H230" s="6" t="n">
        <v>0</v>
      </c>
      <c r="I230" s="31" t="n">
        <v>0</v>
      </c>
      <c r="J230" s="6" t="n">
        <v>0</v>
      </c>
      <c r="K230" s="12" t="n">
        <v>0</v>
      </c>
      <c r="L230" s="6" t="n">
        <v>206.6</v>
      </c>
      <c r="N230" s="18" t="n">
        <v>0</v>
      </c>
      <c r="O230" s="18" t="n">
        <v>0.084995</v>
      </c>
      <c r="P230" s="18" t="n">
        <v>0.09450600000000001</v>
      </c>
      <c r="Q230" s="18" t="n">
        <v>0.098789</v>
      </c>
    </row>
    <row r="231">
      <c r="A231" s="30" t="n">
        <v>4311007</v>
      </c>
      <c r="B231" s="5" t="inlineStr">
        <is>
          <t>Jaguarão</t>
        </is>
      </c>
      <c r="C231" s="19">
        <f>N231</f>
        <v/>
      </c>
      <c r="D231" s="19">
        <f>O231</f>
        <v/>
      </c>
      <c r="E231" s="19">
        <f>P231</f>
        <v/>
      </c>
      <c r="F231" s="19">
        <f>Q231</f>
        <v/>
      </c>
      <c r="G231" s="19">
        <f>C231+D231+E231+F231</f>
        <v/>
      </c>
      <c r="H231" s="6" t="n">
        <v>0</v>
      </c>
      <c r="I231" s="31" t="n">
        <v>0</v>
      </c>
      <c r="J231" s="6" t="n">
        <v>0</v>
      </c>
      <c r="K231" s="12" t="n">
        <v>0</v>
      </c>
      <c r="L231" s="6" t="n">
        <v>319.2</v>
      </c>
      <c r="N231" s="18" t="n">
        <v>0</v>
      </c>
      <c r="O231" s="18" t="n">
        <v>0</v>
      </c>
      <c r="P231" s="18" t="n">
        <v>0</v>
      </c>
      <c r="Q231" s="18" t="n">
        <v>0.015255</v>
      </c>
    </row>
    <row r="232">
      <c r="A232" s="30" t="n">
        <v>4311106</v>
      </c>
      <c r="B232" s="5" t="inlineStr">
        <is>
          <t>Jaguari</t>
        </is>
      </c>
      <c r="C232" s="19">
        <f>N232</f>
        <v/>
      </c>
      <c r="D232" s="19">
        <f>O232</f>
        <v/>
      </c>
      <c r="E232" s="19">
        <f>P232</f>
        <v/>
      </c>
      <c r="F232" s="19">
        <f>Q232</f>
        <v/>
      </c>
      <c r="G232" s="19">
        <f>C232+D232+E232+F232</f>
        <v/>
      </c>
      <c r="H232" s="6" t="n">
        <v>0</v>
      </c>
      <c r="I232" s="31" t="n">
        <v>0</v>
      </c>
      <c r="J232" s="6" t="n">
        <v>3990</v>
      </c>
      <c r="K232" s="12" t="n">
        <v>34.314</v>
      </c>
      <c r="L232" s="6" t="n">
        <v>218</v>
      </c>
      <c r="N232" s="18" t="n">
        <v>0.667757</v>
      </c>
      <c r="O232" s="18" t="n">
        <v>0.124657</v>
      </c>
      <c r="P232" s="18" t="n">
        <v>0.163185</v>
      </c>
      <c r="Q232" s="18" t="n">
        <v>0.045333</v>
      </c>
    </row>
    <row r="233">
      <c r="A233" s="30" t="n">
        <v>4311122</v>
      </c>
      <c r="B233" s="5" t="inlineStr">
        <is>
          <t>Jaquirana</t>
        </is>
      </c>
      <c r="C233" s="19">
        <f>N233</f>
        <v/>
      </c>
      <c r="D233" s="19">
        <f>O233</f>
        <v/>
      </c>
      <c r="E233" s="19">
        <f>P233</f>
        <v/>
      </c>
      <c r="F233" s="19">
        <f>Q233</f>
        <v/>
      </c>
      <c r="G233" s="19">
        <f>C233+D233+E233+F233</f>
        <v/>
      </c>
      <c r="H233" s="6" t="n">
        <v>0</v>
      </c>
      <c r="I233" s="31" t="n">
        <v>0</v>
      </c>
      <c r="J233" s="6" t="n">
        <v>0</v>
      </c>
      <c r="K233" s="12" t="n">
        <v>0</v>
      </c>
      <c r="L233" s="6" t="n">
        <v>213.2</v>
      </c>
      <c r="N233" s="18" t="n">
        <v>0</v>
      </c>
      <c r="O233" s="18" t="n">
        <v>0.07045</v>
      </c>
      <c r="P233" s="18" t="n">
        <v>0.082076</v>
      </c>
      <c r="Q233" s="18" t="n">
        <v>0.339038</v>
      </c>
    </row>
    <row r="234">
      <c r="A234" s="30" t="n">
        <v>4311130</v>
      </c>
      <c r="B234" s="5" t="inlineStr">
        <is>
          <t>Jari</t>
        </is>
      </c>
      <c r="C234" s="19">
        <f>N234</f>
        <v/>
      </c>
      <c r="D234" s="19">
        <f>O234</f>
        <v/>
      </c>
      <c r="E234" s="19">
        <f>P234</f>
        <v/>
      </c>
      <c r="F234" s="19">
        <f>Q234</f>
        <v/>
      </c>
      <c r="G234" s="19">
        <f>C234+D234+E234+F234</f>
        <v/>
      </c>
      <c r="H234" s="6" t="n">
        <v>0</v>
      </c>
      <c r="I234" s="31" t="n">
        <v>0</v>
      </c>
      <c r="J234" s="6" t="n">
        <v>870</v>
      </c>
      <c r="K234" s="12" t="n">
        <v>7.482</v>
      </c>
      <c r="L234" s="6" t="n">
        <v>187.4</v>
      </c>
      <c r="N234" s="18" t="n">
        <v>0.145601</v>
      </c>
      <c r="O234" s="18" t="n">
        <v>0.000429</v>
      </c>
      <c r="P234" s="18" t="n">
        <v>0.059887</v>
      </c>
      <c r="Q234" s="18" t="n">
        <v>0.047038</v>
      </c>
    </row>
    <row r="235">
      <c r="A235" s="30" t="n">
        <v>4311155</v>
      </c>
      <c r="B235" s="5" t="inlineStr">
        <is>
          <t>Jóia</t>
        </is>
      </c>
      <c r="C235" s="19">
        <f>N235</f>
        <v/>
      </c>
      <c r="D235" s="19">
        <f>O235</f>
        <v/>
      </c>
      <c r="E235" s="19">
        <f>P235</f>
        <v/>
      </c>
      <c r="F235" s="19">
        <f>Q235</f>
        <v/>
      </c>
      <c r="G235" s="19">
        <f>C235+D235+E235+F235</f>
        <v/>
      </c>
      <c r="H235" s="6" t="n">
        <v>0</v>
      </c>
      <c r="I235" s="31" t="n">
        <v>0</v>
      </c>
      <c r="J235" s="6" t="n">
        <v>45</v>
      </c>
      <c r="K235" s="12" t="n">
        <v>0.387</v>
      </c>
      <c r="L235" s="6" t="n">
        <v>195.9</v>
      </c>
      <c r="N235" s="18" t="n">
        <v>0.007531</v>
      </c>
      <c r="O235" s="18" t="n">
        <v>0.031809</v>
      </c>
      <c r="P235" s="18" t="n">
        <v>0.131241</v>
      </c>
      <c r="Q235" s="18" t="n">
        <v>0.065564</v>
      </c>
    </row>
    <row r="236">
      <c r="A236" s="30" t="n">
        <v>4311205</v>
      </c>
      <c r="B236" s="5" t="inlineStr">
        <is>
          <t>Júlio de Castilhos</t>
        </is>
      </c>
      <c r="C236" s="19">
        <f>N236</f>
        <v/>
      </c>
      <c r="D236" s="19">
        <f>O236</f>
        <v/>
      </c>
      <c r="E236" s="19">
        <f>P236</f>
        <v/>
      </c>
      <c r="F236" s="19">
        <f>Q236</f>
        <v/>
      </c>
      <c r="G236" s="19">
        <f>C236+D236+E236+F236</f>
        <v/>
      </c>
      <c r="H236" s="6" t="n">
        <v>0</v>
      </c>
      <c r="I236" s="31" t="n">
        <v>0</v>
      </c>
      <c r="J236" s="6" t="n">
        <v>23</v>
      </c>
      <c r="K236" s="12" t="n">
        <v>0.198</v>
      </c>
      <c r="L236" s="6" t="n">
        <v>128.1</v>
      </c>
      <c r="N236" s="18" t="n">
        <v>0.003849</v>
      </c>
      <c r="O236" s="18" t="n">
        <v>0.314593</v>
      </c>
      <c r="P236" s="18" t="n">
        <v>0.607205</v>
      </c>
      <c r="Q236" s="18" t="n">
        <v>0.428679</v>
      </c>
    </row>
    <row r="237">
      <c r="A237" s="30" t="n">
        <v>4311239</v>
      </c>
      <c r="B237" s="5" t="inlineStr">
        <is>
          <t>Lagoa Bonita do Sul</t>
        </is>
      </c>
      <c r="C237" s="19">
        <f>N237</f>
        <v/>
      </c>
      <c r="D237" s="19">
        <f>O237</f>
        <v/>
      </c>
      <c r="E237" s="19">
        <f>P237</f>
        <v/>
      </c>
      <c r="F237" s="19">
        <f>Q237</f>
        <v/>
      </c>
      <c r="G237" s="19">
        <f>C237+D237+E237+F237</f>
        <v/>
      </c>
      <c r="H237" s="6" t="n">
        <v>0</v>
      </c>
      <c r="I237" s="31" t="n">
        <v>1</v>
      </c>
      <c r="J237" s="6" t="n">
        <v>2788</v>
      </c>
      <c r="K237" s="12" t="n">
        <v>23.977</v>
      </c>
      <c r="L237" s="6" t="n">
        <v>63.5</v>
      </c>
      <c r="N237" s="18" t="n">
        <v>0.466593</v>
      </c>
      <c r="O237" s="18" t="n">
        <v>0.001214</v>
      </c>
      <c r="P237" s="18" t="n">
        <v>0.213386</v>
      </c>
      <c r="Q237" s="18" t="n">
        <v>0.404127</v>
      </c>
    </row>
    <row r="238">
      <c r="A238" s="30" t="n">
        <v>4311254</v>
      </c>
      <c r="B238" s="5" t="inlineStr">
        <is>
          <t>Lagoão</t>
        </is>
      </c>
      <c r="C238" s="19">
        <f>N238</f>
        <v/>
      </c>
      <c r="D238" s="19">
        <f>O238</f>
        <v/>
      </c>
      <c r="E238" s="19">
        <f>P238</f>
        <v/>
      </c>
      <c r="F238" s="19">
        <f>Q238</f>
        <v/>
      </c>
      <c r="G238" s="19">
        <f>C238+D238+E238+F238</f>
        <v/>
      </c>
      <c r="H238" s="6" t="n">
        <v>0</v>
      </c>
      <c r="I238" s="31" t="n">
        <v>0</v>
      </c>
      <c r="J238" s="6" t="n">
        <v>5000</v>
      </c>
      <c r="K238" s="12" t="n">
        <v>43</v>
      </c>
      <c r="L238" s="6" t="n">
        <v>58.4</v>
      </c>
      <c r="N238" s="18" t="n">
        <v>0.836788</v>
      </c>
      <c r="O238" s="18" t="n">
        <v>0.08633</v>
      </c>
      <c r="P238" s="18" t="n">
        <v>0.305064</v>
      </c>
      <c r="Q238" s="18" t="n">
        <v>0.676511</v>
      </c>
    </row>
    <row r="239">
      <c r="A239" s="30" t="n">
        <v>4311270</v>
      </c>
      <c r="B239" s="5" t="inlineStr">
        <is>
          <t>Lagoa dos Três Cantos</t>
        </is>
      </c>
      <c r="C239" s="19">
        <f>N239</f>
        <v/>
      </c>
      <c r="D239" s="19">
        <f>O239</f>
        <v/>
      </c>
      <c r="E239" s="19">
        <f>P239</f>
        <v/>
      </c>
      <c r="F239" s="19">
        <f>Q239</f>
        <v/>
      </c>
      <c r="G239" s="19">
        <f>C239+D239+E239+F239</f>
        <v/>
      </c>
      <c r="H239" s="6" t="n">
        <v>0</v>
      </c>
      <c r="I239" s="31" t="n">
        <v>0</v>
      </c>
      <c r="J239" s="6" t="n">
        <v>6</v>
      </c>
      <c r="K239" s="12" t="n">
        <v>0.052</v>
      </c>
      <c r="L239" s="6" t="n">
        <v>126.3</v>
      </c>
      <c r="N239" s="18" t="n">
        <v>0.001004</v>
      </c>
      <c r="O239" s="18" t="n">
        <v>0.13212</v>
      </c>
      <c r="P239" s="18" t="n">
        <v>0.15057</v>
      </c>
      <c r="Q239" s="18" t="n">
        <v>0.203527</v>
      </c>
    </row>
    <row r="240">
      <c r="A240" s="30" t="n">
        <v>4311304</v>
      </c>
      <c r="B240" s="5" t="inlineStr">
        <is>
          <t>Lagoa Vermelha</t>
        </is>
      </c>
      <c r="C240" s="19">
        <f>N240</f>
        <v/>
      </c>
      <c r="D240" s="19">
        <f>O240</f>
        <v/>
      </c>
      <c r="E240" s="19">
        <f>P240</f>
        <v/>
      </c>
      <c r="F240" s="19">
        <f>Q240</f>
        <v/>
      </c>
      <c r="G240" s="19">
        <f>C240+D240+E240+F240</f>
        <v/>
      </c>
      <c r="H240" s="6" t="n">
        <v>0</v>
      </c>
      <c r="I240" s="31" t="n">
        <v>0</v>
      </c>
      <c r="J240" s="6" t="n">
        <v>0</v>
      </c>
      <c r="K240" s="12" t="n">
        <v>0</v>
      </c>
      <c r="L240" s="6" t="n">
        <v>180.5</v>
      </c>
      <c r="N240" s="18" t="n">
        <v>0</v>
      </c>
      <c r="O240" s="18" t="n">
        <v>2.776733</v>
      </c>
      <c r="P240" s="18" t="n">
        <v>0.445773</v>
      </c>
      <c r="Q240" s="18" t="n">
        <v>0.712329</v>
      </c>
    </row>
    <row r="241">
      <c r="A241" s="30" t="n">
        <v>4311403</v>
      </c>
      <c r="B241" s="5" t="inlineStr">
        <is>
          <t>Lajeado</t>
        </is>
      </c>
      <c r="C241" s="19">
        <f>N241</f>
        <v/>
      </c>
      <c r="D241" s="19">
        <f>O241</f>
        <v/>
      </c>
      <c r="E241" s="19">
        <f>P241</f>
        <v/>
      </c>
      <c r="F241" s="19">
        <f>Q241</f>
        <v/>
      </c>
      <c r="G241" s="19">
        <f>C241+D241+E241+F241</f>
        <v/>
      </c>
      <c r="H241" s="6" t="n">
        <v>0</v>
      </c>
      <c r="I241" s="31" t="n">
        <v>0</v>
      </c>
      <c r="J241" s="6" t="n">
        <v>0</v>
      </c>
      <c r="K241" s="12" t="n">
        <v>0</v>
      </c>
      <c r="L241" s="6" t="n">
        <v>44.8</v>
      </c>
      <c r="N241" s="18" t="n">
        <v>0</v>
      </c>
      <c r="O241" s="18" t="n">
        <v>34.345181</v>
      </c>
      <c r="P241" s="18" t="n">
        <v>5.47041</v>
      </c>
      <c r="Q241" s="18" t="n">
        <v>6.317284</v>
      </c>
    </row>
    <row r="242">
      <c r="A242" s="30" t="n">
        <v>4311429</v>
      </c>
      <c r="B242" s="5" t="inlineStr">
        <is>
          <t>Lajeado do Bugre</t>
        </is>
      </c>
      <c r="C242" s="19">
        <f>N242</f>
        <v/>
      </c>
      <c r="D242" s="19">
        <f>O242</f>
        <v/>
      </c>
      <c r="E242" s="19">
        <f>P242</f>
        <v/>
      </c>
      <c r="F242" s="19">
        <f>Q242</f>
        <v/>
      </c>
      <c r="G242" s="19">
        <f>C242+D242+E242+F242</f>
        <v/>
      </c>
      <c r="H242" s="6" t="n">
        <v>0</v>
      </c>
      <c r="I242" s="31" t="n">
        <v>0</v>
      </c>
      <c r="J242" s="6" t="n">
        <v>0</v>
      </c>
      <c r="K242" s="12" t="n">
        <v>0</v>
      </c>
      <c r="L242" s="6" t="n">
        <v>229.1</v>
      </c>
      <c r="N242" s="18" t="n">
        <v>0</v>
      </c>
      <c r="O242" s="18" t="n">
        <v>0.000843</v>
      </c>
      <c r="P242" s="18" t="n">
        <v>0.030281</v>
      </c>
      <c r="Q242" s="18" t="n">
        <v>0.050871</v>
      </c>
    </row>
    <row r="243">
      <c r="A243" s="30" t="n">
        <v>4311502</v>
      </c>
      <c r="B243" s="5" t="inlineStr">
        <is>
          <t>Lavras do Sul</t>
        </is>
      </c>
      <c r="C243" s="19">
        <f>N243</f>
        <v/>
      </c>
      <c r="D243" s="19">
        <f>O243</f>
        <v/>
      </c>
      <c r="E243" s="19">
        <f>P243</f>
        <v/>
      </c>
      <c r="F243" s="19">
        <f>Q243</f>
        <v/>
      </c>
      <c r="G243" s="19">
        <f>C243+D243+E243+F243</f>
        <v/>
      </c>
      <c r="H243" s="6" t="n">
        <v>0</v>
      </c>
      <c r="I243" s="31" t="n">
        <v>0</v>
      </c>
      <c r="J243" s="6" t="n">
        <v>0</v>
      </c>
      <c r="K243" s="12" t="n">
        <v>0</v>
      </c>
      <c r="L243" s="6" t="n">
        <v>209.4</v>
      </c>
      <c r="N243" s="18" t="n">
        <v>0</v>
      </c>
      <c r="O243" s="18" t="n">
        <v>0.025903</v>
      </c>
      <c r="P243" s="18" t="n">
        <v>0.123414</v>
      </c>
      <c r="Q243" s="18" t="n">
        <v>0.026317</v>
      </c>
    </row>
    <row r="244">
      <c r="A244" s="30" t="n">
        <v>4311601</v>
      </c>
      <c r="B244" s="5" t="inlineStr">
        <is>
          <t>Liberato Salzano</t>
        </is>
      </c>
      <c r="C244" s="19">
        <f>N244</f>
        <v/>
      </c>
      <c r="D244" s="19">
        <f>O244</f>
        <v/>
      </c>
      <c r="E244" s="19">
        <f>P244</f>
        <v/>
      </c>
      <c r="F244" s="19">
        <f>Q244</f>
        <v/>
      </c>
      <c r="G244" s="19">
        <f>C244+D244+E244+F244</f>
        <v/>
      </c>
      <c r="H244" s="6" t="n">
        <v>0</v>
      </c>
      <c r="I244" s="31" t="n">
        <v>0</v>
      </c>
      <c r="J244" s="6" t="n">
        <v>900</v>
      </c>
      <c r="K244" s="12" t="n">
        <v>7.74</v>
      </c>
      <c r="L244" s="6" t="n">
        <v>241.1</v>
      </c>
      <c r="N244" s="18" t="n">
        <v>0.150622</v>
      </c>
      <c r="O244" s="18" t="n">
        <v>0.051314</v>
      </c>
      <c r="P244" s="18" t="n">
        <v>0.062642</v>
      </c>
      <c r="Q244" s="18" t="n">
        <v>0.06374299999999999</v>
      </c>
    </row>
    <row r="245">
      <c r="A245" s="30" t="n">
        <v>4311627</v>
      </c>
      <c r="B245" s="5" t="inlineStr">
        <is>
          <t>Lindolfo Collor</t>
        </is>
      </c>
      <c r="C245" s="19">
        <f>N245</f>
        <v/>
      </c>
      <c r="D245" s="19">
        <f>O245</f>
        <v/>
      </c>
      <c r="E245" s="19">
        <f>P245</f>
        <v/>
      </c>
      <c r="F245" s="19">
        <f>Q245</f>
        <v/>
      </c>
      <c r="G245" s="19">
        <f>C245+D245+E245+F245</f>
        <v/>
      </c>
      <c r="H245" s="6" t="n">
        <v>0</v>
      </c>
      <c r="I245" s="31" t="n">
        <v>0</v>
      </c>
      <c r="J245" s="6" t="n">
        <v>0</v>
      </c>
      <c r="K245" s="12" t="n">
        <v>0</v>
      </c>
      <c r="L245" s="6" t="n">
        <v>115.2</v>
      </c>
      <c r="N245" s="18" t="n">
        <v>0</v>
      </c>
      <c r="O245" s="18" t="n">
        <v>0.839121</v>
      </c>
      <c r="P245" s="18" t="n">
        <v>0.227397</v>
      </c>
      <c r="Q245" s="18" t="n">
        <v>1.346222</v>
      </c>
    </row>
    <row r="246">
      <c r="A246" s="30" t="n">
        <v>4311643</v>
      </c>
      <c r="B246" s="5" t="inlineStr">
        <is>
          <t>Linha Nova</t>
        </is>
      </c>
      <c r="C246" s="19">
        <f>N246</f>
        <v/>
      </c>
      <c r="D246" s="19">
        <f>O246</f>
        <v/>
      </c>
      <c r="E246" s="19">
        <f>P246</f>
        <v/>
      </c>
      <c r="F246" s="19">
        <f>Q246</f>
        <v/>
      </c>
      <c r="G246" s="19">
        <f>C246+D246+E246+F246</f>
        <v/>
      </c>
      <c r="H246" s="6" t="n">
        <v>0</v>
      </c>
      <c r="I246" s="31" t="n">
        <v>0</v>
      </c>
      <c r="J246" s="6" t="n">
        <v>0</v>
      </c>
      <c r="K246" s="12" t="n">
        <v>0</v>
      </c>
      <c r="L246" s="6" t="n">
        <v>117.2</v>
      </c>
      <c r="N246" s="18" t="n">
        <v>0</v>
      </c>
      <c r="O246" s="18" t="n">
        <v>0.190403</v>
      </c>
      <c r="P246" s="18" t="n">
        <v>0.113428</v>
      </c>
      <c r="Q246" s="18" t="n">
        <v>0.670179</v>
      </c>
    </row>
    <row r="247">
      <c r="A247" s="30" t="n">
        <v>4311700</v>
      </c>
      <c r="B247" s="5" t="inlineStr">
        <is>
          <t>Machadinho</t>
        </is>
      </c>
      <c r="C247" s="19">
        <f>N247</f>
        <v/>
      </c>
      <c r="D247" s="19">
        <f>O247</f>
        <v/>
      </c>
      <c r="E247" s="19">
        <f>P247</f>
        <v/>
      </c>
      <c r="F247" s="19">
        <f>Q247</f>
        <v/>
      </c>
      <c r="G247" s="19">
        <f>C247+D247+E247+F247</f>
        <v/>
      </c>
      <c r="H247" s="6" t="n">
        <v>0</v>
      </c>
      <c r="I247" s="31" t="n">
        <v>0</v>
      </c>
      <c r="J247" s="6" t="n">
        <v>0</v>
      </c>
      <c r="K247" s="12" t="n">
        <v>0</v>
      </c>
      <c r="L247" s="6" t="n">
        <v>239.3</v>
      </c>
      <c r="N247" s="18" t="n">
        <v>0</v>
      </c>
      <c r="O247" s="18" t="n">
        <v>0.0514</v>
      </c>
      <c r="P247" s="18" t="n">
        <v>0.092728</v>
      </c>
      <c r="Q247" s="18" t="n">
        <v>0.098412</v>
      </c>
    </row>
    <row r="248">
      <c r="A248" s="30" t="n">
        <v>4311718</v>
      </c>
      <c r="B248" s="5" t="inlineStr">
        <is>
          <t>Maçambará</t>
        </is>
      </c>
      <c r="C248" s="19">
        <f>N248</f>
        <v/>
      </c>
      <c r="D248" s="19">
        <f>O248</f>
        <v/>
      </c>
      <c r="E248" s="19">
        <f>P248</f>
        <v/>
      </c>
      <c r="F248" s="19">
        <f>Q248</f>
        <v/>
      </c>
      <c r="G248" s="19">
        <f>C248+D248+E248+F248</f>
        <v/>
      </c>
      <c r="H248" s="6" t="n">
        <v>0</v>
      </c>
      <c r="I248" s="31" t="n">
        <v>0</v>
      </c>
      <c r="J248" s="6" t="n">
        <v>0</v>
      </c>
      <c r="K248" s="12" t="n">
        <v>0</v>
      </c>
      <c r="L248" s="6" t="n">
        <v>333</v>
      </c>
      <c r="N248" s="18" t="n">
        <v>0</v>
      </c>
      <c r="O248" s="18" t="n">
        <v>0</v>
      </c>
      <c r="P248" s="18" t="n">
        <v>0</v>
      </c>
      <c r="Q248" s="18" t="n">
        <v>0.002053</v>
      </c>
    </row>
    <row r="249">
      <c r="A249" s="30" t="n">
        <v>4311734</v>
      </c>
      <c r="B249" s="5" t="inlineStr">
        <is>
          <t>Mampituba</t>
        </is>
      </c>
      <c r="C249" s="19">
        <f>N249</f>
        <v/>
      </c>
      <c r="D249" s="19">
        <f>O249</f>
        <v/>
      </c>
      <c r="E249" s="19">
        <f>P249</f>
        <v/>
      </c>
      <c r="F249" s="19">
        <f>Q249</f>
        <v/>
      </c>
      <c r="G249" s="19">
        <f>C249+D249+E249+F249</f>
        <v/>
      </c>
      <c r="H249" s="6" t="n">
        <v>0</v>
      </c>
      <c r="I249" s="31" t="n">
        <v>0</v>
      </c>
      <c r="J249" s="6" t="n">
        <v>110</v>
      </c>
      <c r="K249" s="12" t="n">
        <v>0.946</v>
      </c>
      <c r="L249" s="6" t="n">
        <v>236.9</v>
      </c>
      <c r="N249" s="18" t="n">
        <v>0.018409</v>
      </c>
      <c r="O249" s="18" t="n">
        <v>0.029314</v>
      </c>
      <c r="P249" s="18" t="n">
        <v>0.036255</v>
      </c>
      <c r="Q249" s="18" t="n">
        <v>0.241308</v>
      </c>
    </row>
    <row r="250">
      <c r="A250" s="30" t="n">
        <v>4311759</v>
      </c>
      <c r="B250" s="5" t="inlineStr">
        <is>
          <t>Manoel Viana</t>
        </is>
      </c>
      <c r="C250" s="19">
        <f>N250</f>
        <v/>
      </c>
      <c r="D250" s="19">
        <f>O250</f>
        <v/>
      </c>
      <c r="E250" s="19">
        <f>P250</f>
        <v/>
      </c>
      <c r="F250" s="19">
        <f>Q250</f>
        <v/>
      </c>
      <c r="G250" s="19">
        <f>C250+D250+E250+F250</f>
        <v/>
      </c>
      <c r="H250" s="6" t="n">
        <v>0</v>
      </c>
      <c r="I250" s="31" t="n">
        <v>0</v>
      </c>
      <c r="J250" s="6" t="n">
        <v>0</v>
      </c>
      <c r="K250" s="12" t="n">
        <v>0</v>
      </c>
      <c r="L250" s="6" t="n">
        <v>306</v>
      </c>
      <c r="N250" s="18" t="n">
        <v>0</v>
      </c>
      <c r="O250" s="18" t="n">
        <v>0</v>
      </c>
      <c r="P250" s="18" t="n">
        <v>0</v>
      </c>
      <c r="Q250" s="18" t="n">
        <v>0.007203</v>
      </c>
    </row>
    <row r="251">
      <c r="A251" s="30" t="n">
        <v>4311775</v>
      </c>
      <c r="B251" s="5" t="inlineStr">
        <is>
          <t>Maquiné</t>
        </is>
      </c>
      <c r="C251" s="19">
        <f>N251</f>
        <v/>
      </c>
      <c r="D251" s="19">
        <f>O251</f>
        <v/>
      </c>
      <c r="E251" s="19">
        <f>P251</f>
        <v/>
      </c>
      <c r="F251" s="19">
        <f>Q251</f>
        <v/>
      </c>
      <c r="G251" s="19">
        <f>C251+D251+E251+F251</f>
        <v/>
      </c>
      <c r="H251" s="6" t="n">
        <v>0</v>
      </c>
      <c r="I251" s="31" t="n">
        <v>0</v>
      </c>
      <c r="J251" s="6" t="n">
        <v>13</v>
      </c>
      <c r="K251" s="12" t="n">
        <v>0.112</v>
      </c>
      <c r="L251" s="6" t="n">
        <v>212.7</v>
      </c>
      <c r="N251" s="18" t="n">
        <v>0.002176</v>
      </c>
      <c r="O251" s="18" t="n">
        <v>0.107832</v>
      </c>
      <c r="P251" s="18" t="n">
        <v>0.102915</v>
      </c>
      <c r="Q251" s="18" t="n">
        <v>0.55371</v>
      </c>
    </row>
    <row r="252">
      <c r="A252" s="30" t="n">
        <v>4311791</v>
      </c>
      <c r="B252" s="5" t="inlineStr">
        <is>
          <t>Maratá</t>
        </is>
      </c>
      <c r="C252" s="19">
        <f>N252</f>
        <v/>
      </c>
      <c r="D252" s="19">
        <f>O252</f>
        <v/>
      </c>
      <c r="E252" s="19">
        <f>P252</f>
        <v/>
      </c>
      <c r="F252" s="19">
        <f>Q252</f>
        <v/>
      </c>
      <c r="G252" s="19">
        <f>C252+D252+E252+F252</f>
        <v/>
      </c>
      <c r="H252" s="6" t="n">
        <v>0</v>
      </c>
      <c r="I252" s="31" t="n">
        <v>0</v>
      </c>
      <c r="J252" s="6" t="n">
        <v>0</v>
      </c>
      <c r="K252" s="12" t="n">
        <v>0</v>
      </c>
      <c r="L252" s="6" t="n">
        <v>83.7</v>
      </c>
      <c r="N252" s="18" t="n">
        <v>0</v>
      </c>
      <c r="O252" s="18" t="n">
        <v>0.400983</v>
      </c>
      <c r="P252" s="18" t="n">
        <v>0.257876</v>
      </c>
      <c r="Q252" s="18" t="n">
        <v>0.863436</v>
      </c>
    </row>
    <row r="253">
      <c r="A253" s="30" t="n">
        <v>4311809</v>
      </c>
      <c r="B253" s="5" t="inlineStr">
        <is>
          <t>Marau</t>
        </is>
      </c>
      <c r="C253" s="19">
        <f>N253</f>
        <v/>
      </c>
      <c r="D253" s="19">
        <f>O253</f>
        <v/>
      </c>
      <c r="E253" s="19">
        <f>P253</f>
        <v/>
      </c>
      <c r="F253" s="19">
        <f>Q253</f>
        <v/>
      </c>
      <c r="G253" s="19">
        <f>C253+D253+E253+F253</f>
        <v/>
      </c>
      <c r="H253" s="6" t="n">
        <v>0</v>
      </c>
      <c r="I253" s="31" t="n">
        <v>0</v>
      </c>
      <c r="J253" s="6" t="n">
        <v>12</v>
      </c>
      <c r="K253" s="12" t="n">
        <v>0.103</v>
      </c>
      <c r="L253" s="6" t="n">
        <v>132.8</v>
      </c>
      <c r="N253" s="18" t="n">
        <v>0.002008</v>
      </c>
      <c r="O253" s="18" t="n">
        <v>5.126945</v>
      </c>
      <c r="P253" s="18" t="n">
        <v>1.117621</v>
      </c>
      <c r="Q253" s="18" t="n">
        <v>1.312875</v>
      </c>
    </row>
    <row r="254">
      <c r="A254" s="30" t="n">
        <v>4311908</v>
      </c>
      <c r="B254" s="5" t="inlineStr">
        <is>
          <t>Marcelino Ramos</t>
        </is>
      </c>
      <c r="C254" s="19">
        <f>N254</f>
        <v/>
      </c>
      <c r="D254" s="19">
        <f>O254</f>
        <v/>
      </c>
      <c r="E254" s="19">
        <f>P254</f>
        <v/>
      </c>
      <c r="F254" s="19">
        <f>Q254</f>
        <v/>
      </c>
      <c r="G254" s="19">
        <f>C254+D254+E254+F254</f>
        <v/>
      </c>
      <c r="H254" s="6" t="n">
        <v>0</v>
      </c>
      <c r="I254" s="31" t="n">
        <v>0</v>
      </c>
      <c r="J254" s="6" t="n">
        <v>7</v>
      </c>
      <c r="K254" s="12" t="n">
        <v>0.06</v>
      </c>
      <c r="L254" s="6" t="n">
        <v>244.4</v>
      </c>
      <c r="N254" s="18" t="n">
        <v>0.001172</v>
      </c>
      <c r="O254" s="18" t="n">
        <v>0.061356</v>
      </c>
      <c r="P254" s="18" t="n">
        <v>0.08067199999999999</v>
      </c>
      <c r="Q254" s="18" t="n">
        <v>0.068798</v>
      </c>
    </row>
    <row r="255">
      <c r="A255" s="30" t="n">
        <v>4311981</v>
      </c>
      <c r="B255" s="5" t="inlineStr">
        <is>
          <t>Mariana Pimentel</t>
        </is>
      </c>
      <c r="C255" s="19">
        <f>N255</f>
        <v/>
      </c>
      <c r="D255" s="19">
        <f>O255</f>
        <v/>
      </c>
      <c r="E255" s="19">
        <f>P255</f>
        <v/>
      </c>
      <c r="F255" s="19">
        <f>Q255</f>
        <v/>
      </c>
      <c r="G255" s="19">
        <f>C255+D255+E255+F255</f>
        <v/>
      </c>
      <c r="H255" s="6" t="n">
        <v>0</v>
      </c>
      <c r="I255" s="31" t="n">
        <v>0</v>
      </c>
      <c r="J255" s="6" t="n">
        <v>776</v>
      </c>
      <c r="K255" s="12" t="n">
        <v>6.674</v>
      </c>
      <c r="L255" s="6" t="n">
        <v>108.6</v>
      </c>
      <c r="N255" s="18" t="n">
        <v>0.129869</v>
      </c>
      <c r="O255" s="18" t="n">
        <v>0.069703</v>
      </c>
      <c r="P255" s="18" t="n">
        <v>0.159754</v>
      </c>
      <c r="Q255" s="18" t="n">
        <v>0.7630940000000001</v>
      </c>
    </row>
    <row r="256">
      <c r="A256" s="30" t="n">
        <v>4312005</v>
      </c>
      <c r="B256" s="5" t="inlineStr">
        <is>
          <t>Mariano Moro</t>
        </is>
      </c>
      <c r="C256" s="19">
        <f>N256</f>
        <v/>
      </c>
      <c r="D256" s="19">
        <f>O256</f>
        <v/>
      </c>
      <c r="E256" s="19">
        <f>P256</f>
        <v/>
      </c>
      <c r="F256" s="19">
        <f>Q256</f>
        <v/>
      </c>
      <c r="G256" s="19">
        <f>C256+D256+E256+F256</f>
        <v/>
      </c>
      <c r="H256" s="6" t="n">
        <v>0</v>
      </c>
      <c r="I256" s="31" t="n">
        <v>0</v>
      </c>
      <c r="J256" s="6" t="n">
        <v>0</v>
      </c>
      <c r="K256" s="12" t="n">
        <v>0</v>
      </c>
      <c r="L256" s="6" t="n">
        <v>256.4</v>
      </c>
      <c r="N256" s="18" t="n">
        <v>0</v>
      </c>
      <c r="O256" s="18" t="n">
        <v>0.02582</v>
      </c>
      <c r="P256" s="18" t="n">
        <v>0.032143</v>
      </c>
      <c r="Q256" s="18" t="n">
        <v>0.039442</v>
      </c>
    </row>
    <row r="257">
      <c r="A257" s="30" t="n">
        <v>4312054</v>
      </c>
      <c r="B257" s="5" t="inlineStr">
        <is>
          <t>Marques de Souza</t>
        </is>
      </c>
      <c r="C257" s="19">
        <f>N257</f>
        <v/>
      </c>
      <c r="D257" s="19">
        <f>O257</f>
        <v/>
      </c>
      <c r="E257" s="19">
        <f>P257</f>
        <v/>
      </c>
      <c r="F257" s="19">
        <f>Q257</f>
        <v/>
      </c>
      <c r="G257" s="19">
        <f>C257+D257+E257+F257</f>
        <v/>
      </c>
      <c r="H257" s="6" t="n">
        <v>0</v>
      </c>
      <c r="I257" s="31" t="n">
        <v>0</v>
      </c>
      <c r="J257" s="6" t="n">
        <v>143</v>
      </c>
      <c r="K257" s="12" t="n">
        <v>1.23</v>
      </c>
      <c r="L257" s="6" t="n">
        <v>46.8</v>
      </c>
      <c r="N257" s="18" t="n">
        <v>0.023932</v>
      </c>
      <c r="O257" s="18" t="n">
        <v>0.484933</v>
      </c>
      <c r="P257" s="18" t="n">
        <v>0.554464</v>
      </c>
      <c r="Q257" s="18" t="n">
        <v>0.988259</v>
      </c>
    </row>
    <row r="258">
      <c r="A258" s="30" t="n">
        <v>4312104</v>
      </c>
      <c r="B258" s="5" t="inlineStr">
        <is>
          <t>Mata</t>
        </is>
      </c>
      <c r="C258" s="19">
        <f>N258</f>
        <v/>
      </c>
      <c r="D258" s="19">
        <f>O258</f>
        <v/>
      </c>
      <c r="E258" s="19">
        <f>P258</f>
        <v/>
      </c>
      <c r="F258" s="19">
        <f>Q258</f>
        <v/>
      </c>
      <c r="G258" s="19">
        <f>C258+D258+E258+F258</f>
        <v/>
      </c>
      <c r="H258" s="6" t="n">
        <v>0</v>
      </c>
      <c r="I258" s="31" t="n">
        <v>0</v>
      </c>
      <c r="J258" s="6" t="n">
        <v>1710</v>
      </c>
      <c r="K258" s="12" t="n">
        <v>14.706</v>
      </c>
      <c r="L258" s="6" t="n">
        <v>199.8</v>
      </c>
      <c r="N258" s="18" t="n">
        <v>0.286181</v>
      </c>
      <c r="O258" s="18" t="n">
        <v>0.077554</v>
      </c>
      <c r="P258" s="18" t="n">
        <v>0.106189</v>
      </c>
      <c r="Q258" s="18" t="n">
        <v>0.039501</v>
      </c>
    </row>
    <row r="259">
      <c r="A259" s="30" t="n">
        <v>4312138</v>
      </c>
      <c r="B259" s="5" t="inlineStr">
        <is>
          <t>Mato Castelhano</t>
        </is>
      </c>
      <c r="C259" s="19">
        <f>N259</f>
        <v/>
      </c>
      <c r="D259" s="19">
        <f>O259</f>
        <v/>
      </c>
      <c r="E259" s="19">
        <f>P259</f>
        <v/>
      </c>
      <c r="F259" s="19">
        <f>Q259</f>
        <v/>
      </c>
      <c r="G259" s="19">
        <f>C259+D259+E259+F259</f>
        <v/>
      </c>
      <c r="H259" s="6" t="n">
        <v>0</v>
      </c>
      <c r="I259" s="31" t="n">
        <v>0</v>
      </c>
      <c r="J259" s="6" t="n">
        <v>0</v>
      </c>
      <c r="K259" s="12" t="n">
        <v>0</v>
      </c>
      <c r="L259" s="6" t="n">
        <v>153.1</v>
      </c>
      <c r="N259" s="18" t="n">
        <v>0</v>
      </c>
      <c r="O259" s="18" t="n">
        <v>0.080301</v>
      </c>
      <c r="P259" s="18" t="n">
        <v>0.119519</v>
      </c>
      <c r="Q259" s="18" t="n">
        <v>0.258735</v>
      </c>
    </row>
    <row r="260">
      <c r="A260" s="30" t="n">
        <v>4312153</v>
      </c>
      <c r="B260" s="5" t="inlineStr">
        <is>
          <t>Mato Leitão</t>
        </is>
      </c>
      <c r="C260" s="19">
        <f>N260</f>
        <v/>
      </c>
      <c r="D260" s="19">
        <f>O260</f>
        <v/>
      </c>
      <c r="E260" s="19">
        <f>P260</f>
        <v/>
      </c>
      <c r="F260" s="19">
        <f>Q260</f>
        <v/>
      </c>
      <c r="G260" s="19">
        <f>C260+D260+E260+F260</f>
        <v/>
      </c>
      <c r="H260" s="6" t="n">
        <v>0</v>
      </c>
      <c r="I260" s="31" t="n">
        <v>1</v>
      </c>
      <c r="J260" s="6" t="n">
        <v>175</v>
      </c>
      <c r="K260" s="12" t="n">
        <v>1.505</v>
      </c>
      <c r="L260" s="6" t="n">
        <v>29.5</v>
      </c>
      <c r="N260" s="18" t="n">
        <v>0.029288</v>
      </c>
      <c r="O260" s="18" t="n">
        <v>1.065195</v>
      </c>
      <c r="P260" s="18" t="n">
        <v>0.971919</v>
      </c>
      <c r="Q260" s="18" t="n">
        <v>1.46375</v>
      </c>
    </row>
    <row r="261">
      <c r="A261" s="30" t="n">
        <v>4312179</v>
      </c>
      <c r="B261" s="5" t="inlineStr">
        <is>
          <t>Mato Queimado</t>
        </is>
      </c>
      <c r="C261" s="19">
        <f>N261</f>
        <v/>
      </c>
      <c r="D261" s="19">
        <f>O261</f>
        <v/>
      </c>
      <c r="E261" s="19">
        <f>P261</f>
        <v/>
      </c>
      <c r="F261" s="19">
        <f>Q261</f>
        <v/>
      </c>
      <c r="G261" s="19">
        <f>C261+D261+E261+F261</f>
        <v/>
      </c>
      <c r="H261" s="6" t="n">
        <v>0</v>
      </c>
      <c r="I261" s="31" t="n">
        <v>0</v>
      </c>
      <c r="J261" s="6" t="n">
        <v>0</v>
      </c>
      <c r="K261" s="12" t="n">
        <v>0</v>
      </c>
      <c r="L261" s="6" t="n">
        <v>268.8</v>
      </c>
      <c r="N261" s="18" t="n">
        <v>0</v>
      </c>
      <c r="O261" s="18" t="n">
        <v>0</v>
      </c>
      <c r="P261" s="18" t="n">
        <v>0</v>
      </c>
      <c r="Q261" s="18" t="n">
        <v>0.012426</v>
      </c>
    </row>
    <row r="262">
      <c r="A262" s="30" t="n">
        <v>4312203</v>
      </c>
      <c r="B262" s="5" t="inlineStr">
        <is>
          <t>Maximiliano de Almeida</t>
        </is>
      </c>
      <c r="C262" s="19">
        <f>N262</f>
        <v/>
      </c>
      <c r="D262" s="19">
        <f>O262</f>
        <v/>
      </c>
      <c r="E262" s="19">
        <f>P262</f>
        <v/>
      </c>
      <c r="F262" s="19">
        <f>Q262</f>
        <v/>
      </c>
      <c r="G262" s="19">
        <f>C262+D262+E262+F262</f>
        <v/>
      </c>
      <c r="H262" s="6" t="n">
        <v>0</v>
      </c>
      <c r="I262" s="31" t="n">
        <v>0</v>
      </c>
      <c r="J262" s="6" t="n">
        <v>0</v>
      </c>
      <c r="K262" s="12" t="n">
        <v>0</v>
      </c>
      <c r="L262" s="6" t="n">
        <v>233.7</v>
      </c>
      <c r="N262" s="18" t="n">
        <v>0</v>
      </c>
      <c r="O262" s="18" t="n">
        <v>0.081859</v>
      </c>
      <c r="P262" s="18" t="n">
        <v>0.093863</v>
      </c>
      <c r="Q262" s="18" t="n">
        <v>0.081973</v>
      </c>
    </row>
    <row r="263">
      <c r="A263" s="30" t="n">
        <v>4312252</v>
      </c>
      <c r="B263" s="5" t="inlineStr">
        <is>
          <t>Minas do Leão</t>
        </is>
      </c>
      <c r="C263" s="19">
        <f>N263</f>
        <v/>
      </c>
      <c r="D263" s="19">
        <f>O263</f>
        <v/>
      </c>
      <c r="E263" s="19">
        <f>P263</f>
        <v/>
      </c>
      <c r="F263" s="19">
        <f>Q263</f>
        <v/>
      </c>
      <c r="G263" s="19">
        <f>C263+D263+E263+F263</f>
        <v/>
      </c>
      <c r="H263" s="6" t="n">
        <v>0</v>
      </c>
      <c r="I263" s="31" t="n">
        <v>0</v>
      </c>
      <c r="J263" s="6" t="n">
        <v>0</v>
      </c>
      <c r="K263" s="12" t="n">
        <v>0</v>
      </c>
      <c r="L263" s="6" t="n">
        <v>57.2</v>
      </c>
      <c r="N263" s="18" t="n">
        <v>0</v>
      </c>
      <c r="O263" s="18" t="n">
        <v>0.253921</v>
      </c>
      <c r="P263" s="18" t="n">
        <v>0.81395</v>
      </c>
      <c r="Q263" s="18" t="n">
        <v>1.299728</v>
      </c>
    </row>
    <row r="264">
      <c r="A264" s="30" t="n">
        <v>4312302</v>
      </c>
      <c r="B264" s="5" t="inlineStr">
        <is>
          <t>Miraguaí</t>
        </is>
      </c>
      <c r="C264" s="19">
        <f>N264</f>
        <v/>
      </c>
      <c r="D264" s="19">
        <f>O264</f>
        <v/>
      </c>
      <c r="E264" s="19">
        <f>P264</f>
        <v/>
      </c>
      <c r="F264" s="19">
        <f>Q264</f>
        <v/>
      </c>
      <c r="G264" s="19">
        <f>C264+D264+E264+F264</f>
        <v/>
      </c>
      <c r="H264" s="6" t="n">
        <v>0</v>
      </c>
      <c r="I264" s="31" t="n">
        <v>0</v>
      </c>
      <c r="J264" s="6" t="n">
        <v>0</v>
      </c>
      <c r="K264" s="12" t="n">
        <v>0</v>
      </c>
      <c r="L264" s="6" t="n">
        <v>272.5</v>
      </c>
      <c r="N264" s="18" t="n">
        <v>0</v>
      </c>
      <c r="O264" s="18" t="n">
        <v>0</v>
      </c>
      <c r="P264" s="18" t="n">
        <v>0</v>
      </c>
      <c r="Q264" s="18" t="n">
        <v>0.033181</v>
      </c>
    </row>
    <row r="265">
      <c r="A265" s="30" t="n">
        <v>4312351</v>
      </c>
      <c r="B265" s="5" t="inlineStr">
        <is>
          <t>Montauri</t>
        </is>
      </c>
      <c r="C265" s="19">
        <f>N265</f>
        <v/>
      </c>
      <c r="D265" s="19">
        <f>O265</f>
        <v/>
      </c>
      <c r="E265" s="19">
        <f>P265</f>
        <v/>
      </c>
      <c r="F265" s="19">
        <f>Q265</f>
        <v/>
      </c>
      <c r="G265" s="19">
        <f>C265+D265+E265+F265</f>
        <v/>
      </c>
      <c r="H265" s="6" t="n">
        <v>0</v>
      </c>
      <c r="I265" s="31" t="n">
        <v>0</v>
      </c>
      <c r="J265" s="6" t="n">
        <v>0</v>
      </c>
      <c r="K265" s="12" t="n">
        <v>0</v>
      </c>
      <c r="L265" s="6" t="n">
        <v>113.7</v>
      </c>
      <c r="N265" s="18" t="n">
        <v>0</v>
      </c>
      <c r="O265" s="18" t="n">
        <v>0.179319</v>
      </c>
      <c r="P265" s="18" t="n">
        <v>0.154694</v>
      </c>
      <c r="Q265" s="18" t="n">
        <v>0.357466</v>
      </c>
    </row>
    <row r="266">
      <c r="A266" s="30" t="n">
        <v>4312377</v>
      </c>
      <c r="B266" s="5" t="inlineStr">
        <is>
          <t>Monte Alegre dos Campos</t>
        </is>
      </c>
      <c r="C266" s="19">
        <f>N266</f>
        <v/>
      </c>
      <c r="D266" s="19">
        <f>O266</f>
        <v/>
      </c>
      <c r="E266" s="19">
        <f>P266</f>
        <v/>
      </c>
      <c r="F266" s="19">
        <f>Q266</f>
        <v/>
      </c>
      <c r="G266" s="19">
        <f>C266+D266+E266+F266</f>
        <v/>
      </c>
      <c r="H266" s="6" t="n">
        <v>0</v>
      </c>
      <c r="I266" s="31" t="n">
        <v>0</v>
      </c>
      <c r="J266" s="6" t="n">
        <v>0</v>
      </c>
      <c r="K266" s="12" t="n">
        <v>0</v>
      </c>
      <c r="L266" s="6" t="n">
        <v>187.8</v>
      </c>
      <c r="N266" s="18" t="n">
        <v>0</v>
      </c>
      <c r="O266" s="18" t="n">
        <v>0.042346</v>
      </c>
      <c r="P266" s="18" t="n">
        <v>0.039742</v>
      </c>
      <c r="Q266" s="18" t="n">
        <v>0.374653</v>
      </c>
    </row>
    <row r="267">
      <c r="A267" s="30" t="n">
        <v>4312385</v>
      </c>
      <c r="B267" s="5" t="inlineStr">
        <is>
          <t>Monte Belo do Sul</t>
        </is>
      </c>
      <c r="C267" s="19">
        <f>N267</f>
        <v/>
      </c>
      <c r="D267" s="19">
        <f>O267</f>
        <v/>
      </c>
      <c r="E267" s="19">
        <f>P267</f>
        <v/>
      </c>
      <c r="F267" s="19">
        <f>Q267</f>
        <v/>
      </c>
      <c r="G267" s="19">
        <f>C267+D267+E267+F267</f>
        <v/>
      </c>
      <c r="H267" s="6" t="n">
        <v>0</v>
      </c>
      <c r="I267" s="31" t="n">
        <v>0</v>
      </c>
      <c r="J267" s="6" t="n">
        <v>0</v>
      </c>
      <c r="K267" s="12" t="n">
        <v>0</v>
      </c>
      <c r="L267" s="6" t="n">
        <v>92.3</v>
      </c>
      <c r="N267" s="18" t="n">
        <v>0</v>
      </c>
      <c r="O267" s="18" t="n">
        <v>0.329385</v>
      </c>
      <c r="P267" s="18" t="n">
        <v>0.162895</v>
      </c>
      <c r="Q267" s="18" t="n">
        <v>0.755335</v>
      </c>
    </row>
    <row r="268">
      <c r="A268" s="30" t="n">
        <v>4312401</v>
      </c>
      <c r="B268" s="5" t="inlineStr">
        <is>
          <t>Montenegro</t>
        </is>
      </c>
      <c r="C268" s="19">
        <f>N268</f>
        <v/>
      </c>
      <c r="D268" s="19">
        <f>O268</f>
        <v/>
      </c>
      <c r="E268" s="19">
        <f>P268</f>
        <v/>
      </c>
      <c r="F268" s="19">
        <f>Q268</f>
        <v/>
      </c>
      <c r="G268" s="19">
        <f>C268+D268+E268+F268</f>
        <v/>
      </c>
      <c r="H268" s="6" t="n">
        <v>0</v>
      </c>
      <c r="I268" s="31" t="n">
        <v>0</v>
      </c>
      <c r="J268" s="6" t="n">
        <v>0</v>
      </c>
      <c r="K268" s="12" t="n">
        <v>0</v>
      </c>
      <c r="L268" s="6" t="n">
        <v>87.7</v>
      </c>
      <c r="N268" s="18" t="n">
        <v>0</v>
      </c>
      <c r="O268" s="18" t="n">
        <v>13.189965</v>
      </c>
      <c r="P268" s="18" t="n">
        <v>1.997597</v>
      </c>
      <c r="Q268" s="18" t="n">
        <v>4.452968</v>
      </c>
    </row>
    <row r="269">
      <c r="A269" s="30" t="n">
        <v>4312427</v>
      </c>
      <c r="B269" s="5" t="inlineStr">
        <is>
          <t>Mormaço</t>
        </is>
      </c>
      <c r="C269" s="19">
        <f>N269</f>
        <v/>
      </c>
      <c r="D269" s="19">
        <f>O269</f>
        <v/>
      </c>
      <c r="E269" s="19">
        <f>P269</f>
        <v/>
      </c>
      <c r="F269" s="19">
        <f>Q269</f>
        <v/>
      </c>
      <c r="G269" s="19">
        <f>C269+D269+E269+F269</f>
        <v/>
      </c>
      <c r="H269" s="6" t="n">
        <v>0</v>
      </c>
      <c r="I269" s="31" t="n">
        <v>0</v>
      </c>
      <c r="J269" s="6" t="n">
        <v>0</v>
      </c>
      <c r="K269" s="12" t="n">
        <v>0</v>
      </c>
      <c r="L269" s="6" t="n">
        <v>108.5</v>
      </c>
      <c r="N269" s="18" t="n">
        <v>0</v>
      </c>
      <c r="O269" s="18" t="n">
        <v>0.144643</v>
      </c>
      <c r="P269" s="18" t="n">
        <v>0.178822</v>
      </c>
      <c r="Q269" s="18" t="n">
        <v>0.33781</v>
      </c>
    </row>
    <row r="270">
      <c r="A270" s="30" t="n">
        <v>4312443</v>
      </c>
      <c r="B270" s="5" t="inlineStr">
        <is>
          <t>Morrinhos do Sul</t>
        </is>
      </c>
      <c r="C270" s="19">
        <f>N270</f>
        <v/>
      </c>
      <c r="D270" s="19">
        <f>O270</f>
        <v/>
      </c>
      <c r="E270" s="19">
        <f>P270</f>
        <v/>
      </c>
      <c r="F270" s="19">
        <f>Q270</f>
        <v/>
      </c>
      <c r="G270" s="19">
        <f>C270+D270+E270+F270</f>
        <v/>
      </c>
      <c r="H270" s="6" t="n">
        <v>0</v>
      </c>
      <c r="I270" s="31" t="n">
        <v>0</v>
      </c>
      <c r="J270" s="6" t="n">
        <v>0</v>
      </c>
      <c r="K270" s="12" t="n">
        <v>0</v>
      </c>
      <c r="L270" s="6" t="n">
        <v>240.1</v>
      </c>
      <c r="N270" s="18" t="n">
        <v>0</v>
      </c>
      <c r="O270" s="18" t="n">
        <v>0.032509</v>
      </c>
      <c r="P270" s="18" t="n">
        <v>0.059377</v>
      </c>
      <c r="Q270" s="18" t="n">
        <v>0.231734</v>
      </c>
    </row>
    <row r="271">
      <c r="A271" s="30" t="n">
        <v>4312450</v>
      </c>
      <c r="B271" s="5" t="inlineStr">
        <is>
          <t>Morro Redondo</t>
        </is>
      </c>
      <c r="C271" s="19">
        <f>N271</f>
        <v/>
      </c>
      <c r="D271" s="19">
        <f>O271</f>
        <v/>
      </c>
      <c r="E271" s="19">
        <f>P271</f>
        <v/>
      </c>
      <c r="F271" s="19">
        <f>Q271</f>
        <v/>
      </c>
      <c r="G271" s="19">
        <f>C271+D271+E271+F271</f>
        <v/>
      </c>
      <c r="H271" s="6" t="n">
        <v>0</v>
      </c>
      <c r="I271" s="31" t="n">
        <v>0</v>
      </c>
      <c r="J271" s="6" t="n">
        <v>86</v>
      </c>
      <c r="K271" s="12" t="n">
        <v>0.74</v>
      </c>
      <c r="L271" s="6" t="n">
        <v>222.1</v>
      </c>
      <c r="N271" s="18" t="n">
        <v>0.014393</v>
      </c>
      <c r="O271" s="18" t="n">
        <v>0.191965</v>
      </c>
      <c r="P271" s="18" t="n">
        <v>0.072627</v>
      </c>
      <c r="Q271" s="18" t="n">
        <v>0.037253</v>
      </c>
    </row>
    <row r="272">
      <c r="A272" s="30" t="n">
        <v>4312476</v>
      </c>
      <c r="B272" s="5" t="inlineStr">
        <is>
          <t>Morro Reuter</t>
        </is>
      </c>
      <c r="C272" s="19">
        <f>N272</f>
        <v/>
      </c>
      <c r="D272" s="19">
        <f>O272</f>
        <v/>
      </c>
      <c r="E272" s="19">
        <f>P272</f>
        <v/>
      </c>
      <c r="F272" s="19">
        <f>Q272</f>
        <v/>
      </c>
      <c r="G272" s="19">
        <f>C272+D272+E272+F272</f>
        <v/>
      </c>
      <c r="H272" s="6" t="n">
        <v>0</v>
      </c>
      <c r="I272" s="31" t="n">
        <v>0</v>
      </c>
      <c r="J272" s="6" t="n">
        <v>0</v>
      </c>
      <c r="K272" s="12" t="n">
        <v>0</v>
      </c>
      <c r="L272" s="6" t="n">
        <v>132</v>
      </c>
      <c r="N272" s="18" t="n">
        <v>0</v>
      </c>
      <c r="O272" s="18" t="n">
        <v>0.9807090000000001</v>
      </c>
      <c r="P272" s="18" t="n">
        <v>0.261587</v>
      </c>
      <c r="Q272" s="18" t="n">
        <v>1.220132</v>
      </c>
    </row>
    <row r="273">
      <c r="A273" s="30" t="n">
        <v>4312500</v>
      </c>
      <c r="B273" s="5" t="inlineStr">
        <is>
          <t>Mostardas</t>
        </is>
      </c>
      <c r="C273" s="19">
        <f>N273</f>
        <v/>
      </c>
      <c r="D273" s="19">
        <f>O273</f>
        <v/>
      </c>
      <c r="E273" s="19">
        <f>P273</f>
        <v/>
      </c>
      <c r="F273" s="19">
        <f>Q273</f>
        <v/>
      </c>
      <c r="G273" s="19">
        <f>C273+D273+E273+F273</f>
        <v/>
      </c>
      <c r="H273" s="6" t="n">
        <v>0</v>
      </c>
      <c r="I273" s="31" t="n">
        <v>0</v>
      </c>
      <c r="J273" s="6" t="n">
        <v>0</v>
      </c>
      <c r="K273" s="12" t="n">
        <v>0</v>
      </c>
      <c r="L273" s="6" t="n">
        <v>209.8</v>
      </c>
      <c r="N273" s="18" t="n">
        <v>0</v>
      </c>
      <c r="O273" s="18" t="n">
        <v>0.101552</v>
      </c>
      <c r="P273" s="18" t="n">
        <v>0.165341</v>
      </c>
      <c r="Q273" s="18" t="n">
        <v>0.413232</v>
      </c>
    </row>
    <row r="274">
      <c r="A274" s="30" t="n">
        <v>4312609</v>
      </c>
      <c r="B274" s="5" t="inlineStr">
        <is>
          <t>Muçum</t>
        </is>
      </c>
      <c r="C274" s="19">
        <f>N274</f>
        <v/>
      </c>
      <c r="D274" s="19">
        <f>O274</f>
        <v/>
      </c>
      <c r="E274" s="19">
        <f>P274</f>
        <v/>
      </c>
      <c r="F274" s="19">
        <f>Q274</f>
        <v/>
      </c>
      <c r="G274" s="19">
        <f>C274+D274+E274+F274</f>
        <v/>
      </c>
      <c r="H274" s="6" t="n">
        <v>0</v>
      </c>
      <c r="I274" s="31" t="n">
        <v>0</v>
      </c>
      <c r="J274" s="6" t="n">
        <v>0</v>
      </c>
      <c r="K274" s="12" t="n">
        <v>0</v>
      </c>
      <c r="L274" s="6" t="n">
        <v>80.2</v>
      </c>
      <c r="N274" s="18" t="n">
        <v>0</v>
      </c>
      <c r="O274" s="18" t="n">
        <v>0.825861</v>
      </c>
      <c r="P274" s="18" t="n">
        <v>0.776505</v>
      </c>
      <c r="Q274" s="18" t="n">
        <v>1.007035</v>
      </c>
    </row>
    <row r="275">
      <c r="A275" s="30" t="n">
        <v>4312617</v>
      </c>
      <c r="B275" s="5" t="inlineStr">
        <is>
          <t>Muitos Capões</t>
        </is>
      </c>
      <c r="C275" s="19">
        <f>N275</f>
        <v/>
      </c>
      <c r="D275" s="19">
        <f>O275</f>
        <v/>
      </c>
      <c r="E275" s="19">
        <f>P275</f>
        <v/>
      </c>
      <c r="F275" s="19">
        <f>Q275</f>
        <v/>
      </c>
      <c r="G275" s="19">
        <f>C275+D275+E275+F275</f>
        <v/>
      </c>
      <c r="H275" s="6" t="n">
        <v>0</v>
      </c>
      <c r="I275" s="31" t="n">
        <v>0</v>
      </c>
      <c r="J275" s="6" t="n">
        <v>0</v>
      </c>
      <c r="K275" s="12" t="n">
        <v>0</v>
      </c>
      <c r="L275" s="6" t="n">
        <v>180.9</v>
      </c>
      <c r="N275" s="18" t="n">
        <v>0</v>
      </c>
      <c r="O275" s="18" t="n">
        <v>0.168961</v>
      </c>
      <c r="P275" s="18" t="n">
        <v>0.06594899999999999</v>
      </c>
      <c r="Q275" s="18" t="n">
        <v>0.284144</v>
      </c>
    </row>
    <row r="276">
      <c r="A276" s="30" t="n">
        <v>4312625</v>
      </c>
      <c r="B276" s="5" t="inlineStr">
        <is>
          <t>Muliterno</t>
        </is>
      </c>
      <c r="C276" s="19">
        <f>N276</f>
        <v/>
      </c>
      <c r="D276" s="19">
        <f>O276</f>
        <v/>
      </c>
      <c r="E276" s="19">
        <f>P276</f>
        <v/>
      </c>
      <c r="F276" s="19">
        <f>Q276</f>
        <v/>
      </c>
      <c r="G276" s="19">
        <f>C276+D276+E276+F276</f>
        <v/>
      </c>
      <c r="H276" s="6" t="n">
        <v>0</v>
      </c>
      <c r="I276" s="31" t="n">
        <v>0</v>
      </c>
      <c r="J276" s="6" t="n">
        <v>228</v>
      </c>
      <c r="K276" s="12" t="n">
        <v>1.961</v>
      </c>
      <c r="L276" s="6" t="n">
        <v>158.6</v>
      </c>
      <c r="N276" s="18" t="n">
        <v>0.038158</v>
      </c>
      <c r="O276" s="18" t="n">
        <v>0.072528</v>
      </c>
      <c r="P276" s="18" t="n">
        <v>0.079081</v>
      </c>
      <c r="Q276" s="18" t="n">
        <v>0.245013</v>
      </c>
    </row>
    <row r="277">
      <c r="A277" s="30" t="n">
        <v>4312658</v>
      </c>
      <c r="B277" s="5" t="inlineStr">
        <is>
          <t>Não-Me-Toque</t>
        </is>
      </c>
      <c r="C277" s="19">
        <f>N277</f>
        <v/>
      </c>
      <c r="D277" s="19">
        <f>O277</f>
        <v/>
      </c>
      <c r="E277" s="19">
        <f>P277</f>
        <v/>
      </c>
      <c r="F277" s="19">
        <f>Q277</f>
        <v/>
      </c>
      <c r="G277" s="19">
        <f>C277+D277+E277+F277</f>
        <v/>
      </c>
      <c r="H277" s="6" t="n">
        <v>0</v>
      </c>
      <c r="I277" s="31" t="n">
        <v>0</v>
      </c>
      <c r="J277" s="6" t="n">
        <v>0</v>
      </c>
      <c r="K277" s="12" t="n">
        <v>0</v>
      </c>
      <c r="L277" s="6" t="n">
        <v>137.7</v>
      </c>
      <c r="N277" s="18" t="n">
        <v>0</v>
      </c>
      <c r="O277" s="18" t="n">
        <v>3.20756</v>
      </c>
      <c r="P277" s="18" t="n">
        <v>0.712207</v>
      </c>
      <c r="Q277" s="18" t="n">
        <v>0.6011840000000001</v>
      </c>
    </row>
    <row r="278">
      <c r="A278" s="30" t="n">
        <v>4312674</v>
      </c>
      <c r="B278" s="5" t="inlineStr">
        <is>
          <t>Nicolau Vergueiro</t>
        </is>
      </c>
      <c r="C278" s="19">
        <f>N278</f>
        <v/>
      </c>
      <c r="D278" s="19">
        <f>O278</f>
        <v/>
      </c>
      <c r="E278" s="19">
        <f>P278</f>
        <v/>
      </c>
      <c r="F278" s="19">
        <f>Q278</f>
        <v/>
      </c>
      <c r="G278" s="19">
        <f>C278+D278+E278+F278</f>
        <v/>
      </c>
      <c r="H278" s="6" t="n">
        <v>0</v>
      </c>
      <c r="I278" s="31" t="n">
        <v>0</v>
      </c>
      <c r="J278" s="6" t="n">
        <v>0</v>
      </c>
      <c r="K278" s="12" t="n">
        <v>0</v>
      </c>
      <c r="L278" s="6" t="n">
        <v>124.9</v>
      </c>
      <c r="N278" s="18" t="n">
        <v>0</v>
      </c>
      <c r="O278" s="18" t="n">
        <v>0.079263</v>
      </c>
      <c r="P278" s="18" t="n">
        <v>0.133062</v>
      </c>
      <c r="Q278" s="18" t="n">
        <v>0.263854</v>
      </c>
    </row>
    <row r="279">
      <c r="A279" s="30" t="n">
        <v>4312708</v>
      </c>
      <c r="B279" s="5" t="inlineStr">
        <is>
          <t>Nonoai</t>
        </is>
      </c>
      <c r="C279" s="19">
        <f>N279</f>
        <v/>
      </c>
      <c r="D279" s="19">
        <f>O279</f>
        <v/>
      </c>
      <c r="E279" s="19">
        <f>P279</f>
        <v/>
      </c>
      <c r="F279" s="19">
        <f>Q279</f>
        <v/>
      </c>
      <c r="G279" s="19">
        <f>C279+D279+E279+F279</f>
        <v/>
      </c>
      <c r="H279" s="6" t="n">
        <v>0</v>
      </c>
      <c r="I279" s="31" t="n">
        <v>0</v>
      </c>
      <c r="J279" s="6" t="n">
        <v>0</v>
      </c>
      <c r="K279" s="12" t="n">
        <v>0</v>
      </c>
      <c r="L279" s="6" t="n">
        <v>256.2</v>
      </c>
      <c r="N279" s="18" t="n">
        <v>0</v>
      </c>
      <c r="O279" s="18" t="n">
        <v>0.143882</v>
      </c>
      <c r="P279" s="18" t="n">
        <v>0.120173</v>
      </c>
      <c r="Q279" s="18" t="n">
        <v>0.096611</v>
      </c>
    </row>
    <row r="280">
      <c r="A280" s="30" t="n">
        <v>4312757</v>
      </c>
      <c r="B280" s="5" t="inlineStr">
        <is>
          <t>Nova Alvorada</t>
        </is>
      </c>
      <c r="C280" s="19">
        <f>N280</f>
        <v/>
      </c>
      <c r="D280" s="19">
        <f>O280</f>
        <v/>
      </c>
      <c r="E280" s="19">
        <f>P280</f>
        <v/>
      </c>
      <c r="F280" s="19">
        <f>Q280</f>
        <v/>
      </c>
      <c r="G280" s="19">
        <f>C280+D280+E280+F280</f>
        <v/>
      </c>
      <c r="H280" s="6" t="n">
        <v>0</v>
      </c>
      <c r="I280" s="31" t="n">
        <v>0</v>
      </c>
      <c r="J280" s="6" t="n">
        <v>230</v>
      </c>
      <c r="K280" s="12" t="n">
        <v>1.978</v>
      </c>
      <c r="L280" s="6" t="n">
        <v>106.5</v>
      </c>
      <c r="N280" s="18" t="n">
        <v>0.038492</v>
      </c>
      <c r="O280" s="18" t="n">
        <v>0.250055</v>
      </c>
      <c r="P280" s="18" t="n">
        <v>0.486532</v>
      </c>
      <c r="Q280" s="18" t="n">
        <v>0.509298</v>
      </c>
    </row>
    <row r="281">
      <c r="A281" s="30" t="n">
        <v>4312807</v>
      </c>
      <c r="B281" s="5" t="inlineStr">
        <is>
          <t>Nova Araçá</t>
        </is>
      </c>
      <c r="C281" s="19">
        <f>N281</f>
        <v/>
      </c>
      <c r="D281" s="19">
        <f>O281</f>
        <v/>
      </c>
      <c r="E281" s="19">
        <f>P281</f>
        <v/>
      </c>
      <c r="F281" s="19">
        <f>Q281</f>
        <v/>
      </c>
      <c r="G281" s="19">
        <f>C281+D281+E281+F281</f>
        <v/>
      </c>
      <c r="H281" s="6" t="n">
        <v>0</v>
      </c>
      <c r="I281" s="31" t="n">
        <v>0</v>
      </c>
      <c r="J281" s="6" t="n">
        <v>0</v>
      </c>
      <c r="K281" s="12" t="n">
        <v>0</v>
      </c>
      <c r="L281" s="6" t="n">
        <v>127.7</v>
      </c>
      <c r="N281" s="18" t="n">
        <v>0</v>
      </c>
      <c r="O281" s="18" t="n">
        <v>0.747578</v>
      </c>
      <c r="P281" s="18" t="n">
        <v>0.276731</v>
      </c>
      <c r="Q281" s="18" t="n">
        <v>0.669194</v>
      </c>
    </row>
    <row r="282">
      <c r="A282" s="30" t="n">
        <v>4312906</v>
      </c>
      <c r="B282" s="5" t="inlineStr">
        <is>
          <t>Nova Bassano</t>
        </is>
      </c>
      <c r="C282" s="19">
        <f>N282</f>
        <v/>
      </c>
      <c r="D282" s="19">
        <f>O282</f>
        <v/>
      </c>
      <c r="E282" s="19">
        <f>P282</f>
        <v/>
      </c>
      <c r="F282" s="19">
        <f>Q282</f>
        <v/>
      </c>
      <c r="G282" s="19">
        <f>C282+D282+E282+F282</f>
        <v/>
      </c>
      <c r="H282" s="6" t="n">
        <v>0</v>
      </c>
      <c r="I282" s="31" t="n">
        <v>0</v>
      </c>
      <c r="J282" s="6" t="n">
        <v>3</v>
      </c>
      <c r="K282" s="12" t="n">
        <v>0.026</v>
      </c>
      <c r="L282" s="6" t="n">
        <v>120.2</v>
      </c>
      <c r="N282" s="18" t="n">
        <v>0.000502</v>
      </c>
      <c r="O282" s="18" t="n">
        <v>3.691451</v>
      </c>
      <c r="P282" s="18" t="n">
        <v>0.511976</v>
      </c>
      <c r="Q282" s="18" t="n">
        <v>1.008047</v>
      </c>
    </row>
    <row r="283">
      <c r="A283" s="30" t="n">
        <v>4312955</v>
      </c>
      <c r="B283" s="5" t="inlineStr">
        <is>
          <t>Nova Boa Vista</t>
        </is>
      </c>
      <c r="C283" s="19">
        <f>N283</f>
        <v/>
      </c>
      <c r="D283" s="19">
        <f>O283</f>
        <v/>
      </c>
      <c r="E283" s="19">
        <f>P283</f>
        <v/>
      </c>
      <c r="F283" s="19">
        <f>Q283</f>
        <v/>
      </c>
      <c r="G283" s="19">
        <f>C283+D283+E283+F283</f>
        <v/>
      </c>
      <c r="H283" s="6" t="n">
        <v>0</v>
      </c>
      <c r="I283" s="31" t="n">
        <v>0</v>
      </c>
      <c r="J283" s="6" t="n">
        <v>0</v>
      </c>
      <c r="K283" s="12" t="n">
        <v>0</v>
      </c>
      <c r="L283" s="6" t="n">
        <v>191.2</v>
      </c>
      <c r="N283" s="18" t="n">
        <v>0</v>
      </c>
      <c r="O283" s="18" t="n">
        <v>0.152596</v>
      </c>
      <c r="P283" s="18" t="n">
        <v>0.072752</v>
      </c>
      <c r="Q283" s="18" t="n">
        <v>0.072627</v>
      </c>
    </row>
    <row r="284">
      <c r="A284" s="30" t="n">
        <v>4313003</v>
      </c>
      <c r="B284" s="5" t="inlineStr">
        <is>
          <t>Nova Bréscia</t>
        </is>
      </c>
      <c r="C284" s="19">
        <f>N284</f>
        <v/>
      </c>
      <c r="D284" s="19">
        <f>O284</f>
        <v/>
      </c>
      <c r="E284" s="19">
        <f>P284</f>
        <v/>
      </c>
      <c r="F284" s="19">
        <f>Q284</f>
        <v/>
      </c>
      <c r="G284" s="19">
        <f>C284+D284+E284+F284</f>
        <v/>
      </c>
      <c r="H284" s="6" t="n">
        <v>0</v>
      </c>
      <c r="I284" s="31" t="n">
        <v>0</v>
      </c>
      <c r="J284" s="6" t="n">
        <v>8</v>
      </c>
      <c r="K284" s="12" t="n">
        <v>0.06900000000000001</v>
      </c>
      <c r="L284" s="6" t="n">
        <v>59.3</v>
      </c>
      <c r="N284" s="18" t="n">
        <v>0.001339</v>
      </c>
      <c r="O284" s="18" t="n">
        <v>0.481856</v>
      </c>
      <c r="P284" s="18" t="n">
        <v>0.413991</v>
      </c>
      <c r="Q284" s="18" t="n">
        <v>0.831117</v>
      </c>
    </row>
    <row r="285">
      <c r="A285" s="30" t="n">
        <v>4313011</v>
      </c>
      <c r="B285" s="5" t="inlineStr">
        <is>
          <t>Nova Candelária</t>
        </is>
      </c>
      <c r="C285" s="19">
        <f>N285</f>
        <v/>
      </c>
      <c r="D285" s="19">
        <f>O285</f>
        <v/>
      </c>
      <c r="E285" s="19">
        <f>P285</f>
        <v/>
      </c>
      <c r="F285" s="19">
        <f>Q285</f>
        <v/>
      </c>
      <c r="G285" s="19">
        <f>C285+D285+E285+F285</f>
        <v/>
      </c>
      <c r="H285" s="6" t="n">
        <v>0</v>
      </c>
      <c r="I285" s="31" t="n">
        <v>0</v>
      </c>
      <c r="J285" s="6" t="n">
        <v>0</v>
      </c>
      <c r="K285" s="12" t="n">
        <v>0</v>
      </c>
      <c r="L285" s="6" t="n">
        <v>282.7</v>
      </c>
      <c r="N285" s="18" t="n">
        <v>0</v>
      </c>
      <c r="O285" s="18" t="n">
        <v>0</v>
      </c>
      <c r="P285" s="18" t="n">
        <v>0</v>
      </c>
      <c r="Q285" s="18" t="n">
        <v>0.018629</v>
      </c>
    </row>
    <row r="286">
      <c r="A286" s="30" t="n">
        <v>4313037</v>
      </c>
      <c r="B286" s="5" t="inlineStr">
        <is>
          <t>Nova Esperança do Sul</t>
        </is>
      </c>
      <c r="C286" s="19">
        <f>N286</f>
        <v/>
      </c>
      <c r="D286" s="19">
        <f>O286</f>
        <v/>
      </c>
      <c r="E286" s="19">
        <f>P286</f>
        <v/>
      </c>
      <c r="F286" s="19">
        <f>Q286</f>
        <v/>
      </c>
      <c r="G286" s="19">
        <f>C286+D286+E286+F286</f>
        <v/>
      </c>
      <c r="H286" s="6" t="n">
        <v>0</v>
      </c>
      <c r="I286" s="31" t="n">
        <v>0</v>
      </c>
      <c r="J286" s="6" t="n">
        <v>138</v>
      </c>
      <c r="K286" s="12" t="n">
        <v>1.187</v>
      </c>
      <c r="L286" s="6" t="n">
        <v>235.4</v>
      </c>
      <c r="N286" s="18" t="n">
        <v>0.023095</v>
      </c>
      <c r="O286" s="18" t="n">
        <v>0.193783</v>
      </c>
      <c r="P286" s="18" t="n">
        <v>0.08371099999999999</v>
      </c>
      <c r="Q286" s="18" t="n">
        <v>0.023635</v>
      </c>
    </row>
    <row r="287">
      <c r="A287" s="30" t="n">
        <v>4313060</v>
      </c>
      <c r="B287" s="5" t="inlineStr">
        <is>
          <t>Nova Hartz</t>
        </is>
      </c>
      <c r="C287" s="19">
        <f>N287</f>
        <v/>
      </c>
      <c r="D287" s="19">
        <f>O287</f>
        <v/>
      </c>
      <c r="E287" s="19">
        <f>P287</f>
        <v/>
      </c>
      <c r="F287" s="19">
        <f>Q287</f>
        <v/>
      </c>
      <c r="G287" s="19">
        <f>C287+D287+E287+F287</f>
        <v/>
      </c>
      <c r="H287" s="6" t="n">
        <v>0</v>
      </c>
      <c r="I287" s="31" t="n">
        <v>0</v>
      </c>
      <c r="J287" s="6" t="n">
        <v>0</v>
      </c>
      <c r="K287" s="12" t="n">
        <v>0</v>
      </c>
      <c r="L287" s="6" t="n">
        <v>146.1</v>
      </c>
      <c r="N287" s="18" t="n">
        <v>0</v>
      </c>
      <c r="O287" s="18" t="n">
        <v>3.371818</v>
      </c>
      <c r="P287" s="18" t="n">
        <v>0.391779</v>
      </c>
      <c r="Q287" s="18" t="n">
        <v>2.073012</v>
      </c>
    </row>
    <row r="288">
      <c r="A288" s="30" t="n">
        <v>4313086</v>
      </c>
      <c r="B288" s="5" t="inlineStr">
        <is>
          <t>Nova Pádua</t>
        </is>
      </c>
      <c r="C288" s="19">
        <f>N288</f>
        <v/>
      </c>
      <c r="D288" s="19">
        <f>O288</f>
        <v/>
      </c>
      <c r="E288" s="19">
        <f>P288</f>
        <v/>
      </c>
      <c r="F288" s="19">
        <f>Q288</f>
        <v/>
      </c>
      <c r="G288" s="19">
        <f>C288+D288+E288+F288</f>
        <v/>
      </c>
      <c r="H288" s="6" t="n">
        <v>0</v>
      </c>
      <c r="I288" s="31" t="n">
        <v>0</v>
      </c>
      <c r="J288" s="6" t="n">
        <v>0</v>
      </c>
      <c r="K288" s="12" t="n">
        <v>0</v>
      </c>
      <c r="L288" s="6" t="n">
        <v>127.8</v>
      </c>
      <c r="N288" s="18" t="n">
        <v>0</v>
      </c>
      <c r="O288" s="18" t="n">
        <v>0.229683</v>
      </c>
      <c r="P288" s="18" t="n">
        <v>0.183805</v>
      </c>
      <c r="Q288" s="18" t="n">
        <v>0.620304</v>
      </c>
    </row>
    <row r="289">
      <c r="A289" s="30" t="n">
        <v>4313102</v>
      </c>
      <c r="B289" s="5" t="inlineStr">
        <is>
          <t>Nova Palma</t>
        </is>
      </c>
      <c r="C289" s="19">
        <f>N289</f>
        <v/>
      </c>
      <c r="D289" s="19">
        <f>O289</f>
        <v/>
      </c>
      <c r="E289" s="19">
        <f>P289</f>
        <v/>
      </c>
      <c r="F289" s="19">
        <f>Q289</f>
        <v/>
      </c>
      <c r="G289" s="19">
        <f>C289+D289+E289+F289</f>
        <v/>
      </c>
      <c r="H289" s="6" t="n">
        <v>0</v>
      </c>
      <c r="I289" s="31" t="n">
        <v>0</v>
      </c>
      <c r="J289" s="6" t="n">
        <v>380</v>
      </c>
      <c r="K289" s="12" t="n">
        <v>3.268</v>
      </c>
      <c r="L289" s="6" t="n">
        <v>100.5</v>
      </c>
      <c r="N289" s="18" t="n">
        <v>0.063596</v>
      </c>
      <c r="O289" s="18" t="n">
        <v>0.290866</v>
      </c>
      <c r="P289" s="18" t="n">
        <v>0.413046</v>
      </c>
      <c r="Q289" s="18" t="n">
        <v>0.369657</v>
      </c>
    </row>
    <row r="290">
      <c r="A290" s="30" t="n">
        <v>4313201</v>
      </c>
      <c r="B290" s="5" t="inlineStr">
        <is>
          <t>Nova Petrópolis</t>
        </is>
      </c>
      <c r="C290" s="19">
        <f>N290</f>
        <v/>
      </c>
      <c r="D290" s="19">
        <f>O290</f>
        <v/>
      </c>
      <c r="E290" s="19">
        <f>P290</f>
        <v/>
      </c>
      <c r="F290" s="19">
        <f>Q290</f>
        <v/>
      </c>
      <c r="G290" s="19">
        <f>C290+D290+E290+F290</f>
        <v/>
      </c>
      <c r="H290" s="6" t="n">
        <v>0</v>
      </c>
      <c r="I290" s="31" t="n">
        <v>0</v>
      </c>
      <c r="J290" s="6" t="n">
        <v>0</v>
      </c>
      <c r="K290" s="12" t="n">
        <v>0</v>
      </c>
      <c r="L290" s="6" t="n">
        <v>131.6</v>
      </c>
      <c r="N290" s="18" t="n">
        <v>0</v>
      </c>
      <c r="O290" s="18" t="n">
        <v>6.162366</v>
      </c>
      <c r="P290" s="18" t="n">
        <v>0.745023</v>
      </c>
      <c r="Q290" s="18" t="n">
        <v>2.272668</v>
      </c>
    </row>
    <row r="291">
      <c r="A291" s="30" t="n">
        <v>4313300</v>
      </c>
      <c r="B291" s="5" t="inlineStr">
        <is>
          <t>Nova Prata</t>
        </is>
      </c>
      <c r="C291" s="19">
        <f>N291</f>
        <v/>
      </c>
      <c r="D291" s="19">
        <f>O291</f>
        <v/>
      </c>
      <c r="E291" s="19">
        <f>P291</f>
        <v/>
      </c>
      <c r="F291" s="19">
        <f>Q291</f>
        <v/>
      </c>
      <c r="G291" s="19">
        <f>C291+D291+E291+F291</f>
        <v/>
      </c>
      <c r="H291" s="6" t="n">
        <v>0</v>
      </c>
      <c r="I291" s="31" t="n">
        <v>0</v>
      </c>
      <c r="J291" s="6" t="n">
        <v>15</v>
      </c>
      <c r="K291" s="12" t="n">
        <v>0.129</v>
      </c>
      <c r="L291" s="6" t="n">
        <v>125.2</v>
      </c>
      <c r="N291" s="18" t="n">
        <v>0.00251</v>
      </c>
      <c r="O291" s="18" t="n">
        <v>13.537113</v>
      </c>
      <c r="P291" s="18" t="n">
        <v>0.900968</v>
      </c>
      <c r="Q291" s="18" t="n">
        <v>1.703186</v>
      </c>
    </row>
    <row r="292">
      <c r="A292" s="30" t="n">
        <v>4313334</v>
      </c>
      <c r="B292" s="5" t="inlineStr">
        <is>
          <t>Nova Ramada</t>
        </is>
      </c>
      <c r="C292" s="19">
        <f>N292</f>
        <v/>
      </c>
      <c r="D292" s="19">
        <f>O292</f>
        <v/>
      </c>
      <c r="E292" s="19">
        <f>P292</f>
        <v/>
      </c>
      <c r="F292" s="19">
        <f>Q292</f>
        <v/>
      </c>
      <c r="G292" s="19">
        <f>C292+D292+E292+F292</f>
        <v/>
      </c>
      <c r="H292" s="6" t="n">
        <v>0</v>
      </c>
      <c r="I292" s="31" t="n">
        <v>0</v>
      </c>
      <c r="J292" s="6" t="n">
        <v>0</v>
      </c>
      <c r="K292" s="12" t="n">
        <v>0</v>
      </c>
      <c r="L292" s="6" t="n">
        <v>215.1</v>
      </c>
      <c r="N292" s="18" t="n">
        <v>0</v>
      </c>
      <c r="O292" s="18" t="n">
        <v>0.000261</v>
      </c>
      <c r="P292" s="18" t="n">
        <v>0.052406</v>
      </c>
      <c r="Q292" s="18" t="n">
        <v>0.045268</v>
      </c>
    </row>
    <row r="293">
      <c r="A293" s="30" t="n">
        <v>4313359</v>
      </c>
      <c r="B293" s="5" t="inlineStr">
        <is>
          <t>Nova Roma do Sul</t>
        </is>
      </c>
      <c r="C293" s="19">
        <f>N293</f>
        <v/>
      </c>
      <c r="D293" s="19">
        <f>O293</f>
        <v/>
      </c>
      <c r="E293" s="19">
        <f>P293</f>
        <v/>
      </c>
      <c r="F293" s="19">
        <f>Q293</f>
        <v/>
      </c>
      <c r="G293" s="19">
        <f>C293+D293+E293+F293</f>
        <v/>
      </c>
      <c r="H293" s="6" t="n">
        <v>0</v>
      </c>
      <c r="I293" s="31" t="n">
        <v>0</v>
      </c>
      <c r="J293" s="6" t="n">
        <v>0</v>
      </c>
      <c r="K293" s="12" t="n">
        <v>0</v>
      </c>
      <c r="L293" s="6" t="n">
        <v>121.3</v>
      </c>
      <c r="N293" s="18" t="n">
        <v>0</v>
      </c>
      <c r="O293" s="18" t="n">
        <v>0.349491</v>
      </c>
      <c r="P293" s="18" t="n">
        <v>0.23704</v>
      </c>
      <c r="Q293" s="18" t="n">
        <v>0.761806</v>
      </c>
    </row>
    <row r="294">
      <c r="A294" s="30" t="n">
        <v>4313375</v>
      </c>
      <c r="B294" s="5" t="inlineStr">
        <is>
          <t>Nova Santa Rita</t>
        </is>
      </c>
      <c r="C294" s="19">
        <f>N294</f>
        <v/>
      </c>
      <c r="D294" s="19">
        <f>O294</f>
        <v/>
      </c>
      <c r="E294" s="19">
        <f>P294</f>
        <v/>
      </c>
      <c r="F294" s="19">
        <f>Q294</f>
        <v/>
      </c>
      <c r="G294" s="19">
        <f>C294+D294+E294+F294</f>
        <v/>
      </c>
      <c r="H294" s="6" t="n">
        <v>0</v>
      </c>
      <c r="I294" s="31" t="n">
        <v>0</v>
      </c>
      <c r="J294" s="6" t="n">
        <v>0</v>
      </c>
      <c r="K294" s="12" t="n">
        <v>0</v>
      </c>
      <c r="L294" s="6" t="n">
        <v>110.3</v>
      </c>
      <c r="N294" s="18" t="n">
        <v>0</v>
      </c>
      <c r="O294" s="18" t="n">
        <v>2.342029</v>
      </c>
      <c r="P294" s="18" t="n">
        <v>1.133955</v>
      </c>
      <c r="Q294" s="18" t="n">
        <v>2.979883</v>
      </c>
    </row>
    <row r="295">
      <c r="A295" s="30" t="n">
        <v>4313391</v>
      </c>
      <c r="B295" s="5" t="inlineStr">
        <is>
          <t>Novo Cabrais</t>
        </is>
      </c>
      <c r="C295" s="19">
        <f>N295</f>
        <v/>
      </c>
      <c r="D295" s="19">
        <f>O295</f>
        <v/>
      </c>
      <c r="E295" s="19">
        <f>P295</f>
        <v/>
      </c>
      <c r="F295" s="19">
        <f>Q295</f>
        <v/>
      </c>
      <c r="G295" s="19">
        <f>C295+D295+E295+F295</f>
        <v/>
      </c>
      <c r="H295" s="6" t="n">
        <v>0</v>
      </c>
      <c r="I295" s="31" t="n">
        <v>0</v>
      </c>
      <c r="J295" s="6" t="n">
        <v>2500</v>
      </c>
      <c r="K295" s="12" t="n">
        <v>21.5</v>
      </c>
      <c r="L295" s="6" t="n">
        <v>58.3</v>
      </c>
      <c r="N295" s="18" t="n">
        <v>0.418394</v>
      </c>
      <c r="O295" s="18" t="n">
        <v>0.213905</v>
      </c>
      <c r="P295" s="18" t="n">
        <v>0.413651</v>
      </c>
      <c r="Q295" s="18" t="n">
        <v>0.564314</v>
      </c>
    </row>
    <row r="296">
      <c r="A296" s="30" t="n">
        <v>4313409</v>
      </c>
      <c r="B296" s="5" t="inlineStr">
        <is>
          <t>Novo Hamburgo</t>
        </is>
      </c>
      <c r="C296" s="19">
        <f>N296</f>
        <v/>
      </c>
      <c r="D296" s="19">
        <f>O296</f>
        <v/>
      </c>
      <c r="E296" s="19">
        <f>P296</f>
        <v/>
      </c>
      <c r="F296" s="19">
        <f>Q296</f>
        <v/>
      </c>
      <c r="G296" s="19">
        <f>C296+D296+E296+F296</f>
        <v/>
      </c>
      <c r="H296" s="6" t="n">
        <v>0</v>
      </c>
      <c r="I296" s="31" t="n">
        <v>0</v>
      </c>
      <c r="J296" s="6" t="n">
        <v>0</v>
      </c>
      <c r="K296" s="12" t="n">
        <v>0</v>
      </c>
      <c r="L296" s="6" t="n">
        <v>131.7</v>
      </c>
      <c r="N296" s="18" t="n">
        <v>0</v>
      </c>
      <c r="O296" s="18" t="n">
        <v>26.164271</v>
      </c>
      <c r="P296" s="18" t="n">
        <v>2.783968</v>
      </c>
      <c r="Q296" s="18" t="n">
        <v>8.051873000000001</v>
      </c>
    </row>
    <row r="297">
      <c r="A297" s="30" t="n">
        <v>4313425</v>
      </c>
      <c r="B297" s="5" t="inlineStr">
        <is>
          <t>Novo Machado</t>
        </is>
      </c>
      <c r="C297" s="19">
        <f>N297</f>
        <v/>
      </c>
      <c r="D297" s="19">
        <f>O297</f>
        <v/>
      </c>
      <c r="E297" s="19">
        <f>P297</f>
        <v/>
      </c>
      <c r="F297" s="19">
        <f>Q297</f>
        <v/>
      </c>
      <c r="G297" s="19">
        <f>C297+D297+E297+F297</f>
        <v/>
      </c>
      <c r="H297" s="6" t="n">
        <v>0</v>
      </c>
      <c r="I297" s="31" t="n">
        <v>0</v>
      </c>
      <c r="J297" s="6" t="n">
        <v>893</v>
      </c>
      <c r="K297" s="12" t="n">
        <v>7.68</v>
      </c>
      <c r="L297" s="6" t="n">
        <v>312.5</v>
      </c>
      <c r="N297" s="18" t="n">
        <v>0.14945</v>
      </c>
      <c r="O297" s="18" t="n">
        <v>0</v>
      </c>
      <c r="P297" s="18" t="n">
        <v>0</v>
      </c>
      <c r="Q297" s="18" t="n">
        <v>0.011125</v>
      </c>
    </row>
    <row r="298">
      <c r="A298" s="30" t="n">
        <v>4313441</v>
      </c>
      <c r="B298" s="5" t="inlineStr">
        <is>
          <t>Novo Tiradentes</t>
        </is>
      </c>
      <c r="C298" s="19">
        <f>N298</f>
        <v/>
      </c>
      <c r="D298" s="19">
        <f>O298</f>
        <v/>
      </c>
      <c r="E298" s="19">
        <f>P298</f>
        <v/>
      </c>
      <c r="F298" s="19">
        <f>Q298</f>
        <v/>
      </c>
      <c r="G298" s="19">
        <f>C298+D298+E298+F298</f>
        <v/>
      </c>
      <c r="H298" s="6" t="n">
        <v>0</v>
      </c>
      <c r="I298" s="31" t="n">
        <v>0</v>
      </c>
      <c r="J298" s="6" t="n">
        <v>360</v>
      </c>
      <c r="K298" s="12" t="n">
        <v>3.096</v>
      </c>
      <c r="L298" s="6" t="n">
        <v>242.7</v>
      </c>
      <c r="N298" s="18" t="n">
        <v>0.060249</v>
      </c>
      <c r="O298" s="18" t="n">
        <v>0.000197</v>
      </c>
      <c r="P298" s="18" t="n">
        <v>0.034268</v>
      </c>
      <c r="Q298" s="18" t="n">
        <v>0.040734</v>
      </c>
    </row>
    <row r="299">
      <c r="A299" s="30" t="n">
        <v>4313466</v>
      </c>
      <c r="B299" s="5" t="inlineStr">
        <is>
          <t>Novo Xingu</t>
        </is>
      </c>
      <c r="C299" s="19">
        <f>N299</f>
        <v/>
      </c>
      <c r="D299" s="19">
        <f>O299</f>
        <v/>
      </c>
      <c r="E299" s="19">
        <f>P299</f>
        <v/>
      </c>
      <c r="F299" s="19">
        <f>Q299</f>
        <v/>
      </c>
      <c r="G299" s="19">
        <f>C299+D299+E299+F299</f>
        <v/>
      </c>
      <c r="H299" s="6" t="n">
        <v>0</v>
      </c>
      <c r="I299" s="31" t="n">
        <v>0</v>
      </c>
      <c r="J299" s="6" t="n">
        <v>0</v>
      </c>
      <c r="K299" s="12" t="n">
        <v>0</v>
      </c>
      <c r="L299" s="6" t="n">
        <v>220.2</v>
      </c>
      <c r="N299" s="18" t="n">
        <v>0</v>
      </c>
      <c r="O299" s="18" t="n">
        <v>0.031141</v>
      </c>
      <c r="P299" s="18" t="n">
        <v>0.045296</v>
      </c>
      <c r="Q299" s="18" t="n">
        <v>0.046962</v>
      </c>
    </row>
    <row r="300">
      <c r="A300" s="30" t="n">
        <v>4313490</v>
      </c>
      <c r="B300" s="5" t="inlineStr">
        <is>
          <t>Novo Barreiro</t>
        </is>
      </c>
      <c r="C300" s="19">
        <f>N300</f>
        <v/>
      </c>
      <c r="D300" s="19">
        <f>O300</f>
        <v/>
      </c>
      <c r="E300" s="19">
        <f>P300</f>
        <v/>
      </c>
      <c r="F300" s="19">
        <f>Q300</f>
        <v/>
      </c>
      <c r="G300" s="19">
        <f>C300+D300+E300+F300</f>
        <v/>
      </c>
      <c r="H300" s="6" t="n">
        <v>0</v>
      </c>
      <c r="I300" s="31" t="n">
        <v>0</v>
      </c>
      <c r="J300" s="6" t="n">
        <v>0</v>
      </c>
      <c r="K300" s="12" t="n">
        <v>0</v>
      </c>
      <c r="L300" s="6" t="n">
        <v>205.7</v>
      </c>
      <c r="N300" s="18" t="n">
        <v>0</v>
      </c>
      <c r="O300" s="18" t="n">
        <v>0.050183</v>
      </c>
      <c r="P300" s="18" t="n">
        <v>0.08373999999999999</v>
      </c>
      <c r="Q300" s="18" t="n">
        <v>0.087037</v>
      </c>
    </row>
    <row r="301">
      <c r="A301" s="30" t="n">
        <v>4313508</v>
      </c>
      <c r="B301" s="5" t="inlineStr">
        <is>
          <t>Osório</t>
        </is>
      </c>
      <c r="C301" s="19">
        <f>N301</f>
        <v/>
      </c>
      <c r="D301" s="19">
        <f>O301</f>
        <v/>
      </c>
      <c r="E301" s="19">
        <f>P301</f>
        <v/>
      </c>
      <c r="F301" s="19">
        <f>Q301</f>
        <v/>
      </c>
      <c r="G301" s="19">
        <f>C301+D301+E301+F301</f>
        <v/>
      </c>
      <c r="H301" s="6" t="n">
        <v>0</v>
      </c>
      <c r="I301" s="31" t="n">
        <v>0</v>
      </c>
      <c r="J301" s="6" t="n">
        <v>0</v>
      </c>
      <c r="K301" s="12" t="n">
        <v>0</v>
      </c>
      <c r="L301" s="6" t="n">
        <v>208.9</v>
      </c>
      <c r="N301" s="18" t="n">
        <v>0</v>
      </c>
      <c r="O301" s="18" t="n">
        <v>0.818835</v>
      </c>
      <c r="P301" s="18" t="n">
        <v>0.514844</v>
      </c>
      <c r="Q301" s="18" t="n">
        <v>1.461037</v>
      </c>
    </row>
    <row r="302">
      <c r="A302" s="30" t="n">
        <v>4313607</v>
      </c>
      <c r="B302" s="5" t="inlineStr">
        <is>
          <t>Paim Filho</t>
        </is>
      </c>
      <c r="C302" s="19">
        <f>N302</f>
        <v/>
      </c>
      <c r="D302" s="19">
        <f>O302</f>
        <v/>
      </c>
      <c r="E302" s="19">
        <f>P302</f>
        <v/>
      </c>
      <c r="F302" s="19">
        <f>Q302</f>
        <v/>
      </c>
      <c r="G302" s="19">
        <f>C302+D302+E302+F302</f>
        <v/>
      </c>
      <c r="H302" s="6" t="n">
        <v>0</v>
      </c>
      <c r="I302" s="31" t="n">
        <v>0</v>
      </c>
      <c r="J302" s="6" t="n">
        <v>0</v>
      </c>
      <c r="K302" s="12" t="n">
        <v>0</v>
      </c>
      <c r="L302" s="6" t="n">
        <v>221.9</v>
      </c>
      <c r="N302" s="18" t="n">
        <v>0</v>
      </c>
      <c r="O302" s="18" t="n">
        <v>0.044686</v>
      </c>
      <c r="P302" s="18" t="n">
        <v>0.09968399999999999</v>
      </c>
      <c r="Q302" s="18" t="n">
        <v>0.110938</v>
      </c>
    </row>
    <row r="303">
      <c r="A303" s="30" t="n">
        <v>4313656</v>
      </c>
      <c r="B303" s="5" t="inlineStr">
        <is>
          <t>Palmares do Sul</t>
        </is>
      </c>
      <c r="C303" s="19">
        <f>N303</f>
        <v/>
      </c>
      <c r="D303" s="19">
        <f>O303</f>
        <v/>
      </c>
      <c r="E303" s="19">
        <f>P303</f>
        <v/>
      </c>
      <c r="F303" s="19">
        <f>Q303</f>
        <v/>
      </c>
      <c r="G303" s="19">
        <f>C303+D303+E303+F303</f>
        <v/>
      </c>
      <c r="H303" s="6" t="n">
        <v>0</v>
      </c>
      <c r="I303" s="31" t="n">
        <v>0</v>
      </c>
      <c r="J303" s="6" t="n">
        <v>0</v>
      </c>
      <c r="K303" s="12" t="n">
        <v>0</v>
      </c>
      <c r="L303" s="6" t="n">
        <v>204.8</v>
      </c>
      <c r="N303" s="18" t="n">
        <v>0</v>
      </c>
      <c r="O303" s="18" t="n">
        <v>0.175926</v>
      </c>
      <c r="P303" s="18" t="n">
        <v>0.193786</v>
      </c>
      <c r="Q303" s="18" t="n">
        <v>0.6881930000000001</v>
      </c>
    </row>
    <row r="304">
      <c r="A304" s="30" t="n">
        <v>4313706</v>
      </c>
      <c r="B304" s="5" t="inlineStr">
        <is>
          <t>Palmeira das Missões</t>
        </is>
      </c>
      <c r="C304" s="19">
        <f>N304</f>
        <v/>
      </c>
      <c r="D304" s="19">
        <f>O304</f>
        <v/>
      </c>
      <c r="E304" s="19">
        <f>P304</f>
        <v/>
      </c>
      <c r="F304" s="19">
        <f>Q304</f>
        <v/>
      </c>
      <c r="G304" s="19">
        <f>C304+D304+E304+F304</f>
        <v/>
      </c>
      <c r="H304" s="6" t="n">
        <v>0</v>
      </c>
      <c r="I304" s="31" t="n">
        <v>0</v>
      </c>
      <c r="J304" s="6" t="n">
        <v>0</v>
      </c>
      <c r="K304" s="12" t="n">
        <v>0</v>
      </c>
      <c r="L304" s="6" t="n">
        <v>211.8</v>
      </c>
      <c r="N304" s="18" t="n">
        <v>0</v>
      </c>
      <c r="O304" s="18" t="n">
        <v>1.041796</v>
      </c>
      <c r="P304" s="18" t="n">
        <v>0.344679</v>
      </c>
      <c r="Q304" s="18" t="n">
        <v>0.208972</v>
      </c>
    </row>
    <row r="305">
      <c r="A305" s="30" t="n">
        <v>4313805</v>
      </c>
      <c r="B305" s="5" t="inlineStr">
        <is>
          <t>Palmitinho</t>
        </is>
      </c>
      <c r="C305" s="19">
        <f>N305</f>
        <v/>
      </c>
      <c r="D305" s="19">
        <f>O305</f>
        <v/>
      </c>
      <c r="E305" s="19">
        <f>P305</f>
        <v/>
      </c>
      <c r="F305" s="19">
        <f>Q305</f>
        <v/>
      </c>
      <c r="G305" s="19">
        <f>C305+D305+E305+F305</f>
        <v/>
      </c>
      <c r="H305" s="6" t="n">
        <v>0</v>
      </c>
      <c r="I305" s="31" t="n">
        <v>0</v>
      </c>
      <c r="J305" s="6" t="n">
        <v>602</v>
      </c>
      <c r="K305" s="12" t="n">
        <v>5.177</v>
      </c>
      <c r="L305" s="6" t="n">
        <v>281.8</v>
      </c>
      <c r="N305" s="18" t="n">
        <v>0.100749</v>
      </c>
      <c r="O305" s="18" t="n">
        <v>0</v>
      </c>
      <c r="P305" s="18" t="n">
        <v>0</v>
      </c>
      <c r="Q305" s="18" t="n">
        <v>0.042401</v>
      </c>
    </row>
    <row r="306">
      <c r="A306" s="30" t="n">
        <v>4313904</v>
      </c>
      <c r="B306" s="5" t="inlineStr">
        <is>
          <t>Panambi</t>
        </is>
      </c>
      <c r="C306" s="19">
        <f>N306</f>
        <v/>
      </c>
      <c r="D306" s="19">
        <f>O306</f>
        <v/>
      </c>
      <c r="E306" s="19">
        <f>P306</f>
        <v/>
      </c>
      <c r="F306" s="19">
        <f>Q306</f>
        <v/>
      </c>
      <c r="G306" s="19">
        <f>C306+D306+E306+F306</f>
        <v/>
      </c>
      <c r="H306" s="6" t="n">
        <v>0</v>
      </c>
      <c r="I306" s="31" t="n">
        <v>0</v>
      </c>
      <c r="J306" s="6" t="n">
        <v>0</v>
      </c>
      <c r="K306" s="12" t="n">
        <v>0</v>
      </c>
      <c r="L306" s="6" t="n">
        <v>181.1</v>
      </c>
      <c r="N306" s="18" t="n">
        <v>0</v>
      </c>
      <c r="O306" s="18" t="n">
        <v>12.831757</v>
      </c>
      <c r="P306" s="18" t="n">
        <v>0.558526</v>
      </c>
      <c r="Q306" s="18" t="n">
        <v>0.313374</v>
      </c>
    </row>
    <row r="307">
      <c r="A307" s="30" t="n">
        <v>4313953</v>
      </c>
      <c r="B307" s="5" t="inlineStr">
        <is>
          <t>Pantano Grande</t>
        </is>
      </c>
      <c r="C307" s="19">
        <f>N307</f>
        <v/>
      </c>
      <c r="D307" s="19">
        <f>O307</f>
        <v/>
      </c>
      <c r="E307" s="19">
        <f>P307</f>
        <v/>
      </c>
      <c r="F307" s="19">
        <f>Q307</f>
        <v/>
      </c>
      <c r="G307" s="19">
        <f>C307+D307+E307+F307</f>
        <v/>
      </c>
      <c r="H307" s="6" t="n">
        <v>0</v>
      </c>
      <c r="I307" s="31" t="n">
        <v>1</v>
      </c>
      <c r="J307" s="6" t="n">
        <v>7</v>
      </c>
      <c r="K307" s="12" t="n">
        <v>0.06</v>
      </c>
      <c r="L307" s="6" t="n">
        <v>68</v>
      </c>
      <c r="N307" s="18" t="n">
        <v>0.001172</v>
      </c>
      <c r="O307" s="18" t="n">
        <v>0.888323</v>
      </c>
      <c r="P307" s="18" t="n">
        <v>0.767983</v>
      </c>
      <c r="Q307" s="18" t="n">
        <v>1.057904</v>
      </c>
    </row>
    <row r="308">
      <c r="A308" s="30" t="n">
        <v>4314001</v>
      </c>
      <c r="B308" s="5" t="inlineStr">
        <is>
          <t>Paraí</t>
        </is>
      </c>
      <c r="C308" s="19">
        <f>N308</f>
        <v/>
      </c>
      <c r="D308" s="19">
        <f>O308</f>
        <v/>
      </c>
      <c r="E308" s="19">
        <f>P308</f>
        <v/>
      </c>
      <c r="F308" s="19">
        <f>Q308</f>
        <v/>
      </c>
      <c r="G308" s="19">
        <f>C308+D308+E308+F308</f>
        <v/>
      </c>
      <c r="H308" s="6" t="n">
        <v>0</v>
      </c>
      <c r="I308" s="31" t="n">
        <v>0</v>
      </c>
      <c r="J308" s="6" t="n">
        <v>0</v>
      </c>
      <c r="K308" s="12" t="n">
        <v>0</v>
      </c>
      <c r="L308" s="6" t="n">
        <v>130.7</v>
      </c>
      <c r="N308" s="18" t="n">
        <v>0</v>
      </c>
      <c r="O308" s="18" t="n">
        <v>0.910291</v>
      </c>
      <c r="P308" s="18" t="n">
        <v>0.410749</v>
      </c>
      <c r="Q308" s="18" t="n">
        <v>0.762553</v>
      </c>
    </row>
    <row r="309">
      <c r="A309" s="30" t="n">
        <v>4314027</v>
      </c>
      <c r="B309" s="5" t="inlineStr">
        <is>
          <t>Paraíso do Sul</t>
        </is>
      </c>
      <c r="C309" s="19">
        <f>N309</f>
        <v/>
      </c>
      <c r="D309" s="19">
        <f>O309</f>
        <v/>
      </c>
      <c r="E309" s="19">
        <f>P309</f>
        <v/>
      </c>
      <c r="F309" s="19">
        <f>Q309</f>
        <v/>
      </c>
      <c r="G309" s="19">
        <f>C309+D309+E309+F309</f>
        <v/>
      </c>
      <c r="H309" s="6" t="n">
        <v>0</v>
      </c>
      <c r="I309" s="31" t="n">
        <v>0</v>
      </c>
      <c r="J309" s="6" t="n">
        <v>5300</v>
      </c>
      <c r="K309" s="12" t="n">
        <v>45.58</v>
      </c>
      <c r="L309" s="6" t="n">
        <v>69.3</v>
      </c>
      <c r="N309" s="18" t="n">
        <v>0.886995</v>
      </c>
      <c r="O309" s="18" t="n">
        <v>0.29294</v>
      </c>
      <c r="P309" s="18" t="n">
        <v>0.459985</v>
      </c>
      <c r="Q309" s="18" t="n">
        <v>0.626271</v>
      </c>
    </row>
    <row r="310">
      <c r="A310" s="30" t="n">
        <v>4314035</v>
      </c>
      <c r="B310" s="5" t="inlineStr">
        <is>
          <t>Pareci Novo</t>
        </is>
      </c>
      <c r="C310" s="19">
        <f>N310</f>
        <v/>
      </c>
      <c r="D310" s="19">
        <f>O310</f>
        <v/>
      </c>
      <c r="E310" s="19">
        <f>P310</f>
        <v/>
      </c>
      <c r="F310" s="19">
        <f>Q310</f>
        <v/>
      </c>
      <c r="G310" s="19">
        <f>C310+D310+E310+F310</f>
        <v/>
      </c>
      <c r="H310" s="6" t="n">
        <v>0</v>
      </c>
      <c r="I310" s="31" t="n">
        <v>0</v>
      </c>
      <c r="J310" s="6" t="n">
        <v>0</v>
      </c>
      <c r="K310" s="12" t="n">
        <v>0</v>
      </c>
      <c r="L310" s="6" t="n">
        <v>95.3</v>
      </c>
      <c r="N310" s="18" t="n">
        <v>0</v>
      </c>
      <c r="O310" s="18" t="n">
        <v>0.518489</v>
      </c>
      <c r="P310" s="18" t="n">
        <v>0.379894</v>
      </c>
      <c r="Q310" s="18" t="n">
        <v>1.14745</v>
      </c>
    </row>
    <row r="311">
      <c r="A311" s="30" t="n">
        <v>4314050</v>
      </c>
      <c r="B311" s="5" t="inlineStr">
        <is>
          <t>Parobé</t>
        </is>
      </c>
      <c r="C311" s="19">
        <f>N311</f>
        <v/>
      </c>
      <c r="D311" s="19">
        <f>O311</f>
        <v/>
      </c>
      <c r="E311" s="19">
        <f>P311</f>
        <v/>
      </c>
      <c r="F311" s="19">
        <f>Q311</f>
        <v/>
      </c>
      <c r="G311" s="19">
        <f>C311+D311+E311+F311</f>
        <v/>
      </c>
      <c r="H311" s="6" t="n">
        <v>0</v>
      </c>
      <c r="I311" s="31" t="n">
        <v>0</v>
      </c>
      <c r="J311" s="6" t="n">
        <v>0</v>
      </c>
      <c r="K311" s="12" t="n">
        <v>0</v>
      </c>
      <c r="L311" s="6" t="n">
        <v>150.1</v>
      </c>
      <c r="N311" s="18" t="n">
        <v>0</v>
      </c>
      <c r="O311" s="18" t="n">
        <v>8.32014</v>
      </c>
      <c r="P311" s="18" t="n">
        <v>0.758535</v>
      </c>
      <c r="Q311" s="18" t="n">
        <v>3.287674</v>
      </c>
    </row>
    <row r="312">
      <c r="A312" s="30" t="n">
        <v>4314068</v>
      </c>
      <c r="B312" s="5" t="inlineStr">
        <is>
          <t>Passa Sete</t>
        </is>
      </c>
      <c r="C312" s="19">
        <f>N312</f>
        <v/>
      </c>
      <c r="D312" s="19">
        <f>O312</f>
        <v/>
      </c>
      <c r="E312" s="19">
        <f>P312</f>
        <v/>
      </c>
      <c r="F312" s="19">
        <f>Q312</f>
        <v/>
      </c>
      <c r="G312" s="19">
        <f>C312+D312+E312+F312</f>
        <v/>
      </c>
      <c r="H312" s="6" t="n">
        <v>0</v>
      </c>
      <c r="I312" s="31" t="n">
        <v>1</v>
      </c>
      <c r="J312" s="6" t="n">
        <v>5500</v>
      </c>
      <c r="K312" s="12" t="n">
        <v>47.3</v>
      </c>
      <c r="L312" s="6" t="n">
        <v>50.3</v>
      </c>
      <c r="N312" s="18" t="n">
        <v>0.920467</v>
      </c>
      <c r="O312" s="18" t="n">
        <v>0.167558</v>
      </c>
      <c r="P312" s="18" t="n">
        <v>0.290572</v>
      </c>
      <c r="Q312" s="18" t="n">
        <v>0.6816179999999999</v>
      </c>
    </row>
    <row r="313">
      <c r="A313" s="30" t="n">
        <v>4314076</v>
      </c>
      <c r="B313" s="5" t="inlineStr">
        <is>
          <t>Passo do Sobrado</t>
        </is>
      </c>
      <c r="C313" s="19">
        <f>N313</f>
        <v/>
      </c>
      <c r="D313" s="19">
        <f>O313</f>
        <v/>
      </c>
      <c r="E313" s="19">
        <f>P313</f>
        <v/>
      </c>
      <c r="F313" s="19">
        <f>Q313</f>
        <v/>
      </c>
      <c r="G313" s="19">
        <f>C313+D313+E313+F313</f>
        <v/>
      </c>
      <c r="H313" s="6" t="n">
        <v>0</v>
      </c>
      <c r="I313" s="31" t="n">
        <v>1</v>
      </c>
      <c r="J313" s="6" t="n">
        <v>4098</v>
      </c>
      <c r="K313" s="12" t="n">
        <v>35.243</v>
      </c>
      <c r="L313" s="6" t="n">
        <v>20.1</v>
      </c>
      <c r="N313" s="18" t="n">
        <v>0.685831</v>
      </c>
      <c r="O313" s="18" t="n">
        <v>0.726509</v>
      </c>
      <c r="P313" s="18" t="n">
        <v>1.13775</v>
      </c>
      <c r="Q313" s="18" t="n">
        <v>1.49133</v>
      </c>
    </row>
    <row r="314">
      <c r="A314" s="30" t="n">
        <v>4314100</v>
      </c>
      <c r="B314" s="5" t="inlineStr">
        <is>
          <t>Passo Fundo</t>
        </is>
      </c>
      <c r="C314" s="19">
        <f>N314</f>
        <v/>
      </c>
      <c r="D314" s="19">
        <f>O314</f>
        <v/>
      </c>
      <c r="E314" s="19">
        <f>P314</f>
        <v/>
      </c>
      <c r="F314" s="19">
        <f>Q314</f>
        <v/>
      </c>
      <c r="G314" s="19">
        <f>C314+D314+E314+F314</f>
        <v/>
      </c>
      <c r="H314" s="6" t="n">
        <v>0</v>
      </c>
      <c r="I314" s="31" t="n">
        <v>0</v>
      </c>
      <c r="J314" s="6" t="n">
        <v>0</v>
      </c>
      <c r="K314" s="12" t="n">
        <v>0</v>
      </c>
      <c r="L314" s="6" t="n">
        <v>152.8</v>
      </c>
      <c r="N314" s="18" t="n">
        <v>0</v>
      </c>
      <c r="O314" s="18" t="n">
        <v>16.577825</v>
      </c>
      <c r="P314" s="18" t="n">
        <v>2.204765</v>
      </c>
      <c r="Q314" s="18" t="n">
        <v>2.177157</v>
      </c>
    </row>
    <row r="315">
      <c r="A315" s="30" t="n">
        <v>4314134</v>
      </c>
      <c r="B315" s="5" t="inlineStr">
        <is>
          <t>Paulo Bento</t>
        </is>
      </c>
      <c r="C315" s="19">
        <f>N315</f>
        <v/>
      </c>
      <c r="D315" s="19">
        <f>O315</f>
        <v/>
      </c>
      <c r="E315" s="19">
        <f>P315</f>
        <v/>
      </c>
      <c r="F315" s="19">
        <f>Q315</f>
        <v/>
      </c>
      <c r="G315" s="19">
        <f>C315+D315+E315+F315</f>
        <v/>
      </c>
      <c r="H315" s="6" t="n">
        <v>0</v>
      </c>
      <c r="I315" s="31" t="n">
        <v>0</v>
      </c>
      <c r="J315" s="6" t="n">
        <v>0</v>
      </c>
      <c r="K315" s="12" t="n">
        <v>0</v>
      </c>
      <c r="L315" s="6" t="n">
        <v>214.7</v>
      </c>
      <c r="N315" s="18" t="n">
        <v>0</v>
      </c>
      <c r="O315" s="18" t="n">
        <v>3.620484</v>
      </c>
      <c r="P315" s="18" t="n">
        <v>0.048534</v>
      </c>
      <c r="Q315" s="18" t="n">
        <v>0.076214</v>
      </c>
    </row>
    <row r="316">
      <c r="A316" s="30" t="n">
        <v>4314159</v>
      </c>
      <c r="B316" s="5" t="inlineStr">
        <is>
          <t>Paverama</t>
        </is>
      </c>
      <c r="C316" s="19">
        <f>N316</f>
        <v/>
      </c>
      <c r="D316" s="19">
        <f>O316</f>
        <v/>
      </c>
      <c r="E316" s="19">
        <f>P316</f>
        <v/>
      </c>
      <c r="F316" s="19">
        <f>Q316</f>
        <v/>
      </c>
      <c r="G316" s="19">
        <f>C316+D316+E316+F316</f>
        <v/>
      </c>
      <c r="H316" s="6" t="n">
        <v>0</v>
      </c>
      <c r="I316" s="31" t="n">
        <v>0</v>
      </c>
      <c r="J316" s="6" t="n">
        <v>19</v>
      </c>
      <c r="K316" s="12" t="n">
        <v>0.163</v>
      </c>
      <c r="L316" s="6" t="n">
        <v>66.3</v>
      </c>
      <c r="N316" s="18" t="n">
        <v>0.00318</v>
      </c>
      <c r="O316" s="18" t="n">
        <v>0.83239</v>
      </c>
      <c r="P316" s="18" t="n">
        <v>0.612087</v>
      </c>
      <c r="Q316" s="18" t="n">
        <v>1.58186</v>
      </c>
    </row>
    <row r="317">
      <c r="A317" s="30" t="n">
        <v>4314175</v>
      </c>
      <c r="B317" s="5" t="inlineStr">
        <is>
          <t>Pedras Altas</t>
        </is>
      </c>
      <c r="C317" s="19">
        <f>N317</f>
        <v/>
      </c>
      <c r="D317" s="19">
        <f>O317</f>
        <v/>
      </c>
      <c r="E317" s="19">
        <f>P317</f>
        <v/>
      </c>
      <c r="F317" s="19">
        <f>Q317</f>
        <v/>
      </c>
      <c r="G317" s="19">
        <f>C317+D317+E317+F317</f>
        <v/>
      </c>
      <c r="H317" s="6" t="n">
        <v>0</v>
      </c>
      <c r="I317" s="31" t="n">
        <v>0</v>
      </c>
      <c r="J317" s="6" t="n">
        <v>0</v>
      </c>
      <c r="K317" s="12" t="n">
        <v>0</v>
      </c>
      <c r="L317" s="6" t="n">
        <v>272.6</v>
      </c>
      <c r="N317" s="18" t="n">
        <v>0</v>
      </c>
      <c r="O317" s="18" t="n">
        <v>0</v>
      </c>
      <c r="P317" s="18" t="n">
        <v>0</v>
      </c>
      <c r="Q317" s="18" t="n">
        <v>0.00584</v>
      </c>
    </row>
    <row r="318">
      <c r="A318" s="30" t="n">
        <v>4314209</v>
      </c>
      <c r="B318" s="5" t="inlineStr">
        <is>
          <t>Pedro Osório</t>
        </is>
      </c>
      <c r="C318" s="19">
        <f>N318</f>
        <v/>
      </c>
      <c r="D318" s="19">
        <f>O318</f>
        <v/>
      </c>
      <c r="E318" s="19">
        <f>P318</f>
        <v/>
      </c>
      <c r="F318" s="19">
        <f>Q318</f>
        <v/>
      </c>
      <c r="G318" s="19">
        <f>C318+D318+E318+F318</f>
        <v/>
      </c>
      <c r="H318" s="6" t="n">
        <v>0</v>
      </c>
      <c r="I318" s="31" t="n">
        <v>0</v>
      </c>
      <c r="J318" s="6" t="n">
        <v>0</v>
      </c>
      <c r="K318" s="12" t="n">
        <v>0</v>
      </c>
      <c r="L318" s="6" t="n">
        <v>260.6</v>
      </c>
      <c r="N318" s="18" t="n">
        <v>0</v>
      </c>
      <c r="O318" s="18" t="n">
        <v>0</v>
      </c>
      <c r="P318" s="18" t="n">
        <v>0</v>
      </c>
      <c r="Q318" s="18" t="n">
        <v>0.021963</v>
      </c>
    </row>
    <row r="319">
      <c r="A319" s="30" t="n">
        <v>4314308</v>
      </c>
      <c r="B319" s="5" t="inlineStr">
        <is>
          <t>Pejuçara</t>
        </is>
      </c>
      <c r="C319" s="19">
        <f>N319</f>
        <v/>
      </c>
      <c r="D319" s="19">
        <f>O319</f>
        <v/>
      </c>
      <c r="E319" s="19">
        <f>P319</f>
        <v/>
      </c>
      <c r="F319" s="19">
        <f>Q319</f>
        <v/>
      </c>
      <c r="G319" s="19">
        <f>C319+D319+E319+F319</f>
        <v/>
      </c>
      <c r="H319" s="6" t="n">
        <v>0</v>
      </c>
      <c r="I319" s="31" t="n">
        <v>0</v>
      </c>
      <c r="J319" s="6" t="n">
        <v>0</v>
      </c>
      <c r="K319" s="12" t="n">
        <v>0</v>
      </c>
      <c r="L319" s="6" t="n">
        <v>175.6</v>
      </c>
      <c r="N319" s="18" t="n">
        <v>0</v>
      </c>
      <c r="O319" s="18" t="n">
        <v>0.060594</v>
      </c>
      <c r="P319" s="18" t="n">
        <v>0.120322</v>
      </c>
      <c r="Q319" s="18" t="n">
        <v>0.126912</v>
      </c>
    </row>
    <row r="320">
      <c r="A320" s="30" t="n">
        <v>4314407</v>
      </c>
      <c r="B320" s="5" t="inlineStr">
        <is>
          <t>Pelotas</t>
        </is>
      </c>
      <c r="C320" s="19">
        <f>N320</f>
        <v/>
      </c>
      <c r="D320" s="19">
        <f>O320</f>
        <v/>
      </c>
      <c r="E320" s="19">
        <f>P320</f>
        <v/>
      </c>
      <c r="F320" s="19">
        <f>Q320</f>
        <v/>
      </c>
      <c r="G320" s="19">
        <f>C320+D320+E320+F320</f>
        <v/>
      </c>
      <c r="H320" s="6" t="n">
        <v>0</v>
      </c>
      <c r="I320" s="31" t="n">
        <v>0</v>
      </c>
      <c r="J320" s="6" t="n">
        <v>12290</v>
      </c>
      <c r="K320" s="12" t="n">
        <v>105.694</v>
      </c>
      <c r="L320" s="6" t="n">
        <v>214.8</v>
      </c>
      <c r="N320" s="18" t="n">
        <v>2.056825</v>
      </c>
      <c r="O320" s="18" t="n">
        <v>7.70825</v>
      </c>
      <c r="P320" s="18" t="n">
        <v>1.167594</v>
      </c>
      <c r="Q320" s="18" t="n">
        <v>0.415075</v>
      </c>
    </row>
    <row r="321">
      <c r="A321" s="30" t="n">
        <v>4314423</v>
      </c>
      <c r="B321" s="5" t="inlineStr">
        <is>
          <t>Picada Café</t>
        </is>
      </c>
      <c r="C321" s="19">
        <f>N321</f>
        <v/>
      </c>
      <c r="D321" s="19">
        <f>O321</f>
        <v/>
      </c>
      <c r="E321" s="19">
        <f>P321</f>
        <v/>
      </c>
      <c r="F321" s="19">
        <f>Q321</f>
        <v/>
      </c>
      <c r="G321" s="19">
        <f>C321+D321+E321+F321</f>
        <v/>
      </c>
      <c r="H321" s="6" t="n">
        <v>0</v>
      </c>
      <c r="I321" s="31" t="n">
        <v>0</v>
      </c>
      <c r="J321" s="6" t="n">
        <v>0</v>
      </c>
      <c r="K321" s="12" t="n">
        <v>0</v>
      </c>
      <c r="L321" s="6" t="n">
        <v>127.4</v>
      </c>
      <c r="N321" s="18" t="n">
        <v>0</v>
      </c>
      <c r="O321" s="18" t="n">
        <v>0.792462</v>
      </c>
      <c r="P321" s="18" t="n">
        <v>0.288746</v>
      </c>
      <c r="Q321" s="18" t="n">
        <v>1.148329</v>
      </c>
    </row>
    <row r="322">
      <c r="A322" s="30" t="n">
        <v>4314456</v>
      </c>
      <c r="B322" s="5" t="inlineStr">
        <is>
          <t>Pinhal</t>
        </is>
      </c>
      <c r="C322" s="19">
        <f>N322</f>
        <v/>
      </c>
      <c r="D322" s="19">
        <f>O322</f>
        <v/>
      </c>
      <c r="E322" s="19">
        <f>P322</f>
        <v/>
      </c>
      <c r="F322" s="19">
        <f>Q322</f>
        <v/>
      </c>
      <c r="G322" s="19">
        <f>C322+D322+E322+F322</f>
        <v/>
      </c>
      <c r="H322" s="6" t="n">
        <v>0</v>
      </c>
      <c r="I322" s="31" t="n">
        <v>0</v>
      </c>
      <c r="J322" s="6" t="n">
        <v>5</v>
      </c>
      <c r="K322" s="12" t="n">
        <v>0.043</v>
      </c>
      <c r="L322" s="6" t="n">
        <v>248.3</v>
      </c>
      <c r="N322" s="18" t="n">
        <v>0.000837</v>
      </c>
      <c r="O322" s="18" t="n">
        <v>0.076831</v>
      </c>
      <c r="P322" s="18" t="n">
        <v>0.063001</v>
      </c>
      <c r="Q322" s="18" t="n">
        <v>0.042117</v>
      </c>
    </row>
    <row r="323">
      <c r="A323" s="30" t="n">
        <v>4314464</v>
      </c>
      <c r="B323" s="5" t="inlineStr">
        <is>
          <t>Pinhal da Serra</t>
        </is>
      </c>
      <c r="C323" s="19">
        <f>N323</f>
        <v/>
      </c>
      <c r="D323" s="19">
        <f>O323</f>
        <v/>
      </c>
      <c r="E323" s="19">
        <f>P323</f>
        <v/>
      </c>
      <c r="F323" s="19">
        <f>Q323</f>
        <v/>
      </c>
      <c r="G323" s="19">
        <f>C323+D323+E323+F323</f>
        <v/>
      </c>
      <c r="H323" s="6" t="n">
        <v>0</v>
      </c>
      <c r="I323" s="31" t="n">
        <v>0</v>
      </c>
      <c r="J323" s="6" t="n">
        <v>0</v>
      </c>
      <c r="K323" s="12" t="n">
        <v>0</v>
      </c>
      <c r="L323" s="6" t="n">
        <v>230.1</v>
      </c>
      <c r="N323" s="18" t="n">
        <v>0</v>
      </c>
      <c r="O323" s="18" t="n">
        <v>0.019219</v>
      </c>
      <c r="P323" s="18" t="n">
        <v>0.035144</v>
      </c>
      <c r="Q323" s="18" t="n">
        <v>0.08531</v>
      </c>
    </row>
    <row r="324">
      <c r="A324" s="30" t="n">
        <v>4314472</v>
      </c>
      <c r="B324" s="5" t="inlineStr">
        <is>
          <t>Pinhal Grande</t>
        </is>
      </c>
      <c r="C324" s="19">
        <f>N324</f>
        <v/>
      </c>
      <c r="D324" s="19">
        <f>O324</f>
        <v/>
      </c>
      <c r="E324" s="19">
        <f>P324</f>
        <v/>
      </c>
      <c r="F324" s="19">
        <f>Q324</f>
        <v/>
      </c>
      <c r="G324" s="19">
        <f>C324+D324+E324+F324</f>
        <v/>
      </c>
      <c r="H324" s="6" t="n">
        <v>0</v>
      </c>
      <c r="I324" s="31" t="n">
        <v>0</v>
      </c>
      <c r="J324" s="6" t="n">
        <v>1125</v>
      </c>
      <c r="K324" s="12" t="n">
        <v>9.675000000000001</v>
      </c>
      <c r="L324" s="6" t="n">
        <v>98.2</v>
      </c>
      <c r="N324" s="18" t="n">
        <v>0.188277</v>
      </c>
      <c r="O324" s="18" t="n">
        <v>0.179131</v>
      </c>
      <c r="P324" s="18" t="n">
        <v>0.213572</v>
      </c>
      <c r="Q324" s="18" t="n">
        <v>0.303771</v>
      </c>
    </row>
    <row r="325">
      <c r="A325" s="30" t="n">
        <v>4314498</v>
      </c>
      <c r="B325" s="5" t="inlineStr">
        <is>
          <t>Pinheirinho do Vale</t>
        </is>
      </c>
      <c r="C325" s="19">
        <f>N325</f>
        <v/>
      </c>
      <c r="D325" s="19">
        <f>O325</f>
        <v/>
      </c>
      <c r="E325" s="19">
        <f>P325</f>
        <v/>
      </c>
      <c r="F325" s="19">
        <f>Q325</f>
        <v/>
      </c>
      <c r="G325" s="19">
        <f>C325+D325+E325+F325</f>
        <v/>
      </c>
      <c r="H325" s="6" t="n">
        <v>0</v>
      </c>
      <c r="I325" s="31" t="n">
        <v>0</v>
      </c>
      <c r="J325" s="6" t="n">
        <v>660</v>
      </c>
      <c r="K325" s="12" t="n">
        <v>5.676</v>
      </c>
      <c r="L325" s="6" t="n">
        <v>294.4</v>
      </c>
      <c r="N325" s="18" t="n">
        <v>0.110456</v>
      </c>
      <c r="O325" s="18" t="n">
        <v>0</v>
      </c>
      <c r="P325" s="18" t="n">
        <v>0</v>
      </c>
      <c r="Q325" s="18" t="n">
        <v>0.02713</v>
      </c>
    </row>
    <row r="326">
      <c r="A326" s="30" t="n">
        <v>4314506</v>
      </c>
      <c r="B326" s="5" t="inlineStr">
        <is>
          <t>Pinheiro Machado</t>
        </is>
      </c>
      <c r="C326" s="19">
        <f>N326</f>
        <v/>
      </c>
      <c r="D326" s="19">
        <f>O326</f>
        <v/>
      </c>
      <c r="E326" s="19">
        <f>P326</f>
        <v/>
      </c>
      <c r="F326" s="19">
        <f>Q326</f>
        <v/>
      </c>
      <c r="G326" s="19">
        <f>C326+D326+E326+F326</f>
        <v/>
      </c>
      <c r="H326" s="6" t="n">
        <v>0</v>
      </c>
      <c r="I326" s="31" t="n">
        <v>0</v>
      </c>
      <c r="J326" s="6" t="n">
        <v>14</v>
      </c>
      <c r="K326" s="12" t="n">
        <v>0.12</v>
      </c>
      <c r="L326" s="6" t="n">
        <v>217.7</v>
      </c>
      <c r="N326" s="18" t="n">
        <v>0.002343</v>
      </c>
      <c r="O326" s="18" t="n">
        <v>0.058985</v>
      </c>
      <c r="P326" s="18" t="n">
        <v>0.138131</v>
      </c>
      <c r="Q326" s="18" t="n">
        <v>0.032979</v>
      </c>
    </row>
    <row r="327">
      <c r="A327" s="30" t="n">
        <v>4314548</v>
      </c>
      <c r="B327" s="5" t="inlineStr">
        <is>
          <t>Pinto Bandeira</t>
        </is>
      </c>
      <c r="C327" s="19">
        <f>N327</f>
        <v/>
      </c>
      <c r="D327" s="19">
        <f>O327</f>
        <v/>
      </c>
      <c r="E327" s="19">
        <f>P327</f>
        <v/>
      </c>
      <c r="F327" s="19">
        <f>Q327</f>
        <v/>
      </c>
      <c r="G327" s="19">
        <f>C327+D327+E327+F327</f>
        <v/>
      </c>
      <c r="H327" s="6" t="n">
        <v>0</v>
      </c>
      <c r="I327" s="31" t="n">
        <v>0</v>
      </c>
      <c r="J327" s="6" t="n">
        <v>0</v>
      </c>
      <c r="K327" s="12" t="n">
        <v>0</v>
      </c>
      <c r="L327" s="6" t="n">
        <v>110.4</v>
      </c>
      <c r="N327" s="18" t="n">
        <v>0</v>
      </c>
      <c r="O327" s="18" t="n">
        <v>0.236894</v>
      </c>
      <c r="P327" s="18" t="n">
        <v>0.163957</v>
      </c>
      <c r="Q327" s="18" t="n">
        <v>0.744795</v>
      </c>
    </row>
    <row r="328">
      <c r="A328" s="30" t="n">
        <v>4314555</v>
      </c>
      <c r="B328" s="5" t="inlineStr">
        <is>
          <t>Pirapó</t>
        </is>
      </c>
      <c r="C328" s="19">
        <f>N328</f>
        <v/>
      </c>
      <c r="D328" s="19">
        <f>O328</f>
        <v/>
      </c>
      <c r="E328" s="19">
        <f>P328</f>
        <v/>
      </c>
      <c r="F328" s="19">
        <f>Q328</f>
        <v/>
      </c>
      <c r="G328" s="19">
        <f>C328+D328+E328+F328</f>
        <v/>
      </c>
      <c r="H328" s="6" t="n">
        <v>0</v>
      </c>
      <c r="I328" s="31" t="n">
        <v>0</v>
      </c>
      <c r="J328" s="6" t="n">
        <v>0</v>
      </c>
      <c r="K328" s="12" t="n">
        <v>0</v>
      </c>
      <c r="L328" s="6" t="n">
        <v>327.5</v>
      </c>
      <c r="N328" s="18" t="n">
        <v>0</v>
      </c>
      <c r="O328" s="18" t="n">
        <v>0</v>
      </c>
      <c r="P328" s="18" t="n">
        <v>0</v>
      </c>
      <c r="Q328" s="18" t="n">
        <v>0.005228</v>
      </c>
    </row>
    <row r="329">
      <c r="A329" s="30" t="n">
        <v>4314605</v>
      </c>
      <c r="B329" s="5" t="inlineStr">
        <is>
          <t>Piratini</t>
        </is>
      </c>
      <c r="C329" s="19">
        <f>N329</f>
        <v/>
      </c>
      <c r="D329" s="19">
        <f>O329</f>
        <v/>
      </c>
      <c r="E329" s="19">
        <f>P329</f>
        <v/>
      </c>
      <c r="F329" s="19">
        <f>Q329</f>
        <v/>
      </c>
      <c r="G329" s="19">
        <f>C329+D329+E329+F329</f>
        <v/>
      </c>
      <c r="H329" s="6" t="n">
        <v>0</v>
      </c>
      <c r="I329" s="31" t="n">
        <v>0</v>
      </c>
      <c r="J329" s="6" t="n">
        <v>255</v>
      </c>
      <c r="K329" s="12" t="n">
        <v>2.193</v>
      </c>
      <c r="L329" s="6" t="n">
        <v>209.7</v>
      </c>
      <c r="N329" s="18" t="n">
        <v>0.042676</v>
      </c>
      <c r="O329" s="18" t="n">
        <v>0.144158</v>
      </c>
      <c r="P329" s="18" t="n">
        <v>0.158864</v>
      </c>
      <c r="Q329" s="18" t="n">
        <v>0.053546</v>
      </c>
    </row>
    <row r="330">
      <c r="A330" s="30" t="n">
        <v>4314704</v>
      </c>
      <c r="B330" s="5" t="inlineStr">
        <is>
          <t>Planalto</t>
        </is>
      </c>
      <c r="C330" s="19">
        <f>N330</f>
        <v/>
      </c>
      <c r="D330" s="19">
        <f>O330</f>
        <v/>
      </c>
      <c r="E330" s="19">
        <f>P330</f>
        <v/>
      </c>
      <c r="F330" s="19">
        <f>Q330</f>
        <v/>
      </c>
      <c r="G330" s="19">
        <f>C330+D330+E330+F330</f>
        <v/>
      </c>
      <c r="H330" s="6" t="n">
        <v>0</v>
      </c>
      <c r="I330" s="31" t="n">
        <v>0</v>
      </c>
      <c r="J330" s="6" t="n">
        <v>336</v>
      </c>
      <c r="K330" s="12" t="n">
        <v>2.89</v>
      </c>
      <c r="L330" s="6" t="n">
        <v>264.4</v>
      </c>
      <c r="N330" s="18" t="n">
        <v>0.056232</v>
      </c>
      <c r="O330" s="18" t="n">
        <v>0</v>
      </c>
      <c r="P330" s="18" t="n">
        <v>0</v>
      </c>
      <c r="Q330" s="18" t="n">
        <v>0.069687</v>
      </c>
    </row>
    <row r="331">
      <c r="A331" s="30" t="n">
        <v>4314753</v>
      </c>
      <c r="B331" s="5" t="inlineStr">
        <is>
          <t>Poço das Antas</t>
        </is>
      </c>
      <c r="C331" s="19">
        <f>N331</f>
        <v/>
      </c>
      <c r="D331" s="19">
        <f>O331</f>
        <v/>
      </c>
      <c r="E331" s="19">
        <f>P331</f>
        <v/>
      </c>
      <c r="F331" s="19">
        <f>Q331</f>
        <v/>
      </c>
      <c r="G331" s="19">
        <f>C331+D331+E331+F331</f>
        <v/>
      </c>
      <c r="H331" s="6" t="n">
        <v>0</v>
      </c>
      <c r="I331" s="31" t="n">
        <v>0</v>
      </c>
      <c r="J331" s="6" t="n">
        <v>0</v>
      </c>
      <c r="K331" s="12" t="n">
        <v>0</v>
      </c>
      <c r="L331" s="6" t="n">
        <v>77.5</v>
      </c>
      <c r="N331" s="18" t="n">
        <v>0</v>
      </c>
      <c r="O331" s="18" t="n">
        <v>0.793674</v>
      </c>
      <c r="P331" s="18" t="n">
        <v>0.229291</v>
      </c>
      <c r="Q331" s="18" t="n">
        <v>0.794051</v>
      </c>
    </row>
    <row r="332">
      <c r="A332" s="30" t="n">
        <v>4314779</v>
      </c>
      <c r="B332" s="5" t="inlineStr">
        <is>
          <t>Pontão</t>
        </is>
      </c>
      <c r="C332" s="19">
        <f>N332</f>
        <v/>
      </c>
      <c r="D332" s="19">
        <f>O332</f>
        <v/>
      </c>
      <c r="E332" s="19">
        <f>P332</f>
        <v/>
      </c>
      <c r="F332" s="19">
        <f>Q332</f>
        <v/>
      </c>
      <c r="G332" s="19">
        <f>C332+D332+E332+F332</f>
        <v/>
      </c>
      <c r="H332" s="6" t="n">
        <v>0</v>
      </c>
      <c r="I332" s="31" t="n">
        <v>0</v>
      </c>
      <c r="J332" s="6" t="n">
        <v>0</v>
      </c>
      <c r="K332" s="12" t="n">
        <v>0</v>
      </c>
      <c r="L332" s="6" t="n">
        <v>180</v>
      </c>
      <c r="N332" s="18" t="n">
        <v>0</v>
      </c>
      <c r="O332" s="18" t="n">
        <v>0.063461</v>
      </c>
      <c r="P332" s="18" t="n">
        <v>0.119083</v>
      </c>
      <c r="Q332" s="18" t="n">
        <v>0.174606</v>
      </c>
    </row>
    <row r="333">
      <c r="A333" s="30" t="n">
        <v>4314787</v>
      </c>
      <c r="B333" s="5" t="inlineStr">
        <is>
          <t>Ponte Preta</t>
        </is>
      </c>
      <c r="C333" s="19">
        <f>N333</f>
        <v/>
      </c>
      <c r="D333" s="19">
        <f>O333</f>
        <v/>
      </c>
      <c r="E333" s="19">
        <f>P333</f>
        <v/>
      </c>
      <c r="F333" s="19">
        <f>Q333</f>
        <v/>
      </c>
      <c r="G333" s="19">
        <f>C333+D333+E333+F333</f>
        <v/>
      </c>
      <c r="H333" s="6" t="n">
        <v>0</v>
      </c>
      <c r="I333" s="31" t="n">
        <v>0</v>
      </c>
      <c r="J333" s="6" t="n">
        <v>0</v>
      </c>
      <c r="K333" s="12" t="n">
        <v>0</v>
      </c>
      <c r="L333" s="6" t="n">
        <v>221</v>
      </c>
      <c r="N333" s="18" t="n">
        <v>0</v>
      </c>
      <c r="O333" s="18" t="n">
        <v>0.219123</v>
      </c>
      <c r="P333" s="18" t="n">
        <v>0.050009</v>
      </c>
      <c r="Q333" s="18" t="n">
        <v>0.055382</v>
      </c>
    </row>
    <row r="334">
      <c r="A334" s="30" t="n">
        <v>4314803</v>
      </c>
      <c r="B334" s="5" t="inlineStr">
        <is>
          <t>Portão</t>
        </is>
      </c>
      <c r="C334" s="19">
        <f>N334</f>
        <v/>
      </c>
      <c r="D334" s="19">
        <f>O334</f>
        <v/>
      </c>
      <c r="E334" s="19">
        <f>P334</f>
        <v/>
      </c>
      <c r="F334" s="19">
        <f>Q334</f>
        <v/>
      </c>
      <c r="G334" s="19">
        <f>C334+D334+E334+F334</f>
        <v/>
      </c>
      <c r="H334" s="6" t="n">
        <v>0</v>
      </c>
      <c r="I334" s="31" t="n">
        <v>0</v>
      </c>
      <c r="J334" s="6" t="n">
        <v>0</v>
      </c>
      <c r="K334" s="12" t="n">
        <v>0</v>
      </c>
      <c r="L334" s="6" t="n">
        <v>112.2</v>
      </c>
      <c r="N334" s="18" t="n">
        <v>0</v>
      </c>
      <c r="O334" s="18" t="n">
        <v>7.336765</v>
      </c>
      <c r="P334" s="18" t="n">
        <v>0.87791</v>
      </c>
      <c r="Q334" s="18" t="n">
        <v>3.248043</v>
      </c>
    </row>
    <row r="335">
      <c r="A335" s="30" t="n">
        <v>4314902</v>
      </c>
      <c r="B335" s="5" t="inlineStr">
        <is>
          <t>Porto Alegre</t>
        </is>
      </c>
      <c r="C335" s="19">
        <f>N335</f>
        <v/>
      </c>
      <c r="D335" s="19">
        <f>O335</f>
        <v/>
      </c>
      <c r="E335" s="19">
        <f>P335</f>
        <v/>
      </c>
      <c r="F335" s="19">
        <f>Q335</f>
        <v/>
      </c>
      <c r="G335" s="19">
        <f>C335+D335+E335+F335</f>
        <v/>
      </c>
      <c r="H335" s="6" t="n">
        <v>0</v>
      </c>
      <c r="I335" s="31" t="n">
        <v>0</v>
      </c>
      <c r="J335" s="6" t="n">
        <v>0</v>
      </c>
      <c r="K335" s="12" t="n">
        <v>0</v>
      </c>
      <c r="L335" s="6" t="n">
        <v>129.9</v>
      </c>
      <c r="N335" s="18" t="n">
        <v>0</v>
      </c>
      <c r="O335" s="18" t="n">
        <v>62.271619</v>
      </c>
      <c r="P335" s="18" t="n">
        <v>8.205969</v>
      </c>
      <c r="Q335" s="18" t="n">
        <v>17.740985</v>
      </c>
    </row>
    <row r="336">
      <c r="A336" s="30" t="n">
        <v>4315008</v>
      </c>
      <c r="B336" s="5" t="inlineStr">
        <is>
          <t>Porto Lucena</t>
        </is>
      </c>
      <c r="C336" s="19">
        <f>N336</f>
        <v/>
      </c>
      <c r="D336" s="19">
        <f>O336</f>
        <v/>
      </c>
      <c r="E336" s="19">
        <f>P336</f>
        <v/>
      </c>
      <c r="F336" s="19">
        <f>Q336</f>
        <v/>
      </c>
      <c r="G336" s="19">
        <f>C336+D336+E336+F336</f>
        <v/>
      </c>
      <c r="H336" s="6" t="n">
        <v>0</v>
      </c>
      <c r="I336" s="31" t="n">
        <v>0</v>
      </c>
      <c r="J336" s="6" t="n">
        <v>68</v>
      </c>
      <c r="K336" s="12" t="n">
        <v>0.585</v>
      </c>
      <c r="L336" s="6" t="n">
        <v>318.9</v>
      </c>
      <c r="N336" s="18" t="n">
        <v>0.01138</v>
      </c>
      <c r="O336" s="18" t="n">
        <v>0</v>
      </c>
      <c r="P336" s="18" t="n">
        <v>0</v>
      </c>
      <c r="Q336" s="18" t="n">
        <v>0.009591000000000001</v>
      </c>
    </row>
    <row r="337">
      <c r="A337" s="30" t="n">
        <v>4315057</v>
      </c>
      <c r="B337" s="5" t="inlineStr">
        <is>
          <t>Porto Mauá</t>
        </is>
      </c>
      <c r="C337" s="19">
        <f>N337</f>
        <v/>
      </c>
      <c r="D337" s="19">
        <f>O337</f>
        <v/>
      </c>
      <c r="E337" s="19">
        <f>P337</f>
        <v/>
      </c>
      <c r="F337" s="19">
        <f>Q337</f>
        <v/>
      </c>
      <c r="G337" s="19">
        <f>C337+D337+E337+F337</f>
        <v/>
      </c>
      <c r="H337" s="6" t="n">
        <v>0</v>
      </c>
      <c r="I337" s="31" t="n">
        <v>0</v>
      </c>
      <c r="J337" s="6" t="n">
        <v>55</v>
      </c>
      <c r="K337" s="12" t="n">
        <v>0.473</v>
      </c>
      <c r="L337" s="6" t="n">
        <v>316.6</v>
      </c>
      <c r="N337" s="18" t="n">
        <v>0.009205</v>
      </c>
      <c r="O337" s="18" t="n">
        <v>0</v>
      </c>
      <c r="P337" s="18" t="n">
        <v>0</v>
      </c>
      <c r="Q337" s="18" t="n">
        <v>0.008205</v>
      </c>
    </row>
    <row r="338">
      <c r="A338" s="30" t="n">
        <v>4315073</v>
      </c>
      <c r="B338" s="5" t="inlineStr">
        <is>
          <t>Porto Vera Cruz</t>
        </is>
      </c>
      <c r="C338" s="19">
        <f>N338</f>
        <v/>
      </c>
      <c r="D338" s="19">
        <f>O338</f>
        <v/>
      </c>
      <c r="E338" s="19">
        <f>P338</f>
        <v/>
      </c>
      <c r="F338" s="19">
        <f>Q338</f>
        <v/>
      </c>
      <c r="G338" s="19">
        <f>C338+D338+E338+F338</f>
        <v/>
      </c>
      <c r="H338" s="6" t="n">
        <v>0</v>
      </c>
      <c r="I338" s="31" t="n">
        <v>0</v>
      </c>
      <c r="J338" s="6" t="n">
        <v>32</v>
      </c>
      <c r="K338" s="12" t="n">
        <v>0.275</v>
      </c>
      <c r="L338" s="6" t="n">
        <v>320.7</v>
      </c>
      <c r="N338" s="18" t="n">
        <v>0.005355</v>
      </c>
      <c r="O338" s="18" t="n">
        <v>0</v>
      </c>
      <c r="P338" s="18" t="n">
        <v>0</v>
      </c>
      <c r="Q338" s="18" t="n">
        <v>0.005877</v>
      </c>
    </row>
    <row r="339">
      <c r="A339" s="30" t="n">
        <v>4315107</v>
      </c>
      <c r="B339" s="5" t="inlineStr">
        <is>
          <t>Porto Xavier</t>
        </is>
      </c>
      <c r="C339" s="19">
        <f>N339</f>
        <v/>
      </c>
      <c r="D339" s="19">
        <f>O339</f>
        <v/>
      </c>
      <c r="E339" s="19">
        <f>P339</f>
        <v/>
      </c>
      <c r="F339" s="19">
        <f>Q339</f>
        <v/>
      </c>
      <c r="G339" s="19">
        <f>C339+D339+E339+F339</f>
        <v/>
      </c>
      <c r="H339" s="6" t="n">
        <v>0</v>
      </c>
      <c r="I339" s="31" t="n">
        <v>0</v>
      </c>
      <c r="J339" s="6" t="n">
        <v>0</v>
      </c>
      <c r="K339" s="12" t="n">
        <v>0</v>
      </c>
      <c r="L339" s="6" t="n">
        <v>327.7</v>
      </c>
      <c r="N339" s="18" t="n">
        <v>0</v>
      </c>
      <c r="O339" s="18" t="n">
        <v>0</v>
      </c>
      <c r="P339" s="18" t="n">
        <v>0</v>
      </c>
      <c r="Q339" s="18" t="n">
        <v>0.011962</v>
      </c>
    </row>
    <row r="340">
      <c r="A340" s="30" t="n">
        <v>4315131</v>
      </c>
      <c r="B340" s="5" t="inlineStr">
        <is>
          <t>Pouso Novo</t>
        </is>
      </c>
      <c r="C340" s="19">
        <f>N340</f>
        <v/>
      </c>
      <c r="D340" s="19">
        <f>O340</f>
        <v/>
      </c>
      <c r="E340" s="19">
        <f>P340</f>
        <v/>
      </c>
      <c r="F340" s="19">
        <f>Q340</f>
        <v/>
      </c>
      <c r="G340" s="19">
        <f>C340+D340+E340+F340</f>
        <v/>
      </c>
      <c r="H340" s="6" t="n">
        <v>0</v>
      </c>
      <c r="I340" s="31" t="n">
        <v>0</v>
      </c>
      <c r="J340" s="6" t="n">
        <v>19</v>
      </c>
      <c r="K340" s="12" t="n">
        <v>0.163</v>
      </c>
      <c r="L340" s="6" t="n">
        <v>56.8</v>
      </c>
      <c r="N340" s="18" t="n">
        <v>0.00318</v>
      </c>
      <c r="O340" s="18" t="n">
        <v>0.201989</v>
      </c>
      <c r="P340" s="18" t="n">
        <v>0.218972</v>
      </c>
      <c r="Q340" s="18" t="n">
        <v>0.550153</v>
      </c>
    </row>
    <row r="341">
      <c r="A341" s="30" t="n">
        <v>4315149</v>
      </c>
      <c r="B341" s="5" t="inlineStr">
        <is>
          <t>Presidente Lucena</t>
        </is>
      </c>
      <c r="C341" s="19">
        <f>N341</f>
        <v/>
      </c>
      <c r="D341" s="19">
        <f>O341</f>
        <v/>
      </c>
      <c r="E341" s="19">
        <f>P341</f>
        <v/>
      </c>
      <c r="F341" s="19">
        <f>Q341</f>
        <v/>
      </c>
      <c r="G341" s="19">
        <f>C341+D341+E341+F341</f>
        <v/>
      </c>
      <c r="H341" s="6" t="n">
        <v>0</v>
      </c>
      <c r="I341" s="31" t="n">
        <v>0</v>
      </c>
      <c r="J341" s="6" t="n">
        <v>0</v>
      </c>
      <c r="K341" s="12" t="n">
        <v>0</v>
      </c>
      <c r="L341" s="6" t="n">
        <v>120.1</v>
      </c>
      <c r="N341" s="18" t="n">
        <v>0</v>
      </c>
      <c r="O341" s="18" t="n">
        <v>0.757062</v>
      </c>
      <c r="P341" s="18" t="n">
        <v>0.233391</v>
      </c>
      <c r="Q341" s="18" t="n">
        <v>0.915395</v>
      </c>
    </row>
    <row r="342">
      <c r="A342" s="30" t="n">
        <v>4315156</v>
      </c>
      <c r="B342" s="5" t="inlineStr">
        <is>
          <t>Progresso</t>
        </is>
      </c>
      <c r="C342" s="19">
        <f>N342</f>
        <v/>
      </c>
      <c r="D342" s="19">
        <f>O342</f>
        <v/>
      </c>
      <c r="E342" s="19">
        <f>P342</f>
        <v/>
      </c>
      <c r="F342" s="19">
        <f>Q342</f>
        <v/>
      </c>
      <c r="G342" s="19">
        <f>C342+D342+E342+F342</f>
        <v/>
      </c>
      <c r="H342" s="6" t="n">
        <v>0</v>
      </c>
      <c r="I342" s="31" t="n">
        <v>0</v>
      </c>
      <c r="J342" s="6" t="n">
        <v>3353</v>
      </c>
      <c r="K342" s="12" t="n">
        <v>28.836</v>
      </c>
      <c r="L342" s="6" t="n">
        <v>47.6</v>
      </c>
      <c r="N342" s="18" t="n">
        <v>0.56115</v>
      </c>
      <c r="O342" s="18" t="n">
        <v>0.449511</v>
      </c>
      <c r="P342" s="18" t="n">
        <v>0.558239</v>
      </c>
      <c r="Q342" s="18" t="n">
        <v>0.9830759999999999</v>
      </c>
    </row>
    <row r="343">
      <c r="A343" s="30" t="n">
        <v>4315172</v>
      </c>
      <c r="B343" s="5" t="inlineStr">
        <is>
          <t>Protásio Alves</t>
        </is>
      </c>
      <c r="C343" s="19">
        <f>N343</f>
        <v/>
      </c>
      <c r="D343" s="19">
        <f>O343</f>
        <v/>
      </c>
      <c r="E343" s="19">
        <f>P343</f>
        <v/>
      </c>
      <c r="F343" s="19">
        <f>Q343</f>
        <v/>
      </c>
      <c r="G343" s="19">
        <f>C343+D343+E343+F343</f>
        <v/>
      </c>
      <c r="H343" s="6" t="n">
        <v>0</v>
      </c>
      <c r="I343" s="31" t="n">
        <v>0</v>
      </c>
      <c r="J343" s="6" t="n">
        <v>85</v>
      </c>
      <c r="K343" s="12" t="n">
        <v>0.731</v>
      </c>
      <c r="L343" s="6" t="n">
        <v>134.8</v>
      </c>
      <c r="N343" s="18" t="n">
        <v>0.014225</v>
      </c>
      <c r="O343" s="18" t="n">
        <v>0.09801</v>
      </c>
      <c r="P343" s="18" t="n">
        <v>0.14057</v>
      </c>
      <c r="Q343" s="18" t="n">
        <v>0.458739</v>
      </c>
    </row>
    <row r="344">
      <c r="A344" s="30" t="n">
        <v>4315206</v>
      </c>
      <c r="B344" s="5" t="inlineStr">
        <is>
          <t>Putinga</t>
        </is>
      </c>
      <c r="C344" s="19">
        <f>N344</f>
        <v/>
      </c>
      <c r="D344" s="19">
        <f>O344</f>
        <v/>
      </c>
      <c r="E344" s="19">
        <f>P344</f>
        <v/>
      </c>
      <c r="F344" s="19">
        <f>Q344</f>
        <v/>
      </c>
      <c r="G344" s="19">
        <f>C344+D344+E344+F344</f>
        <v/>
      </c>
      <c r="H344" s="6" t="n">
        <v>0</v>
      </c>
      <c r="I344" s="31" t="n">
        <v>0</v>
      </c>
      <c r="J344" s="6" t="n">
        <v>992</v>
      </c>
      <c r="K344" s="12" t="n">
        <v>8.531000000000001</v>
      </c>
      <c r="L344" s="6" t="n">
        <v>72.59999999999999</v>
      </c>
      <c r="N344" s="18" t="n">
        <v>0.166019</v>
      </c>
      <c r="O344" s="18" t="n">
        <v>0.526272</v>
      </c>
      <c r="P344" s="18" t="n">
        <v>0.303913</v>
      </c>
      <c r="Q344" s="18" t="n">
        <v>0.751543</v>
      </c>
    </row>
    <row r="345">
      <c r="A345" s="30" t="n">
        <v>4315305</v>
      </c>
      <c r="B345" s="5" t="inlineStr">
        <is>
          <t>Quaraí</t>
        </is>
      </c>
      <c r="C345" s="19">
        <f>N345</f>
        <v/>
      </c>
      <c r="D345" s="19">
        <f>O345</f>
        <v/>
      </c>
      <c r="E345" s="19">
        <f>P345</f>
        <v/>
      </c>
      <c r="F345" s="19">
        <f>Q345</f>
        <v/>
      </c>
      <c r="G345" s="19">
        <f>C345+D345+E345+F345</f>
        <v/>
      </c>
      <c r="H345" s="6" t="n">
        <v>0</v>
      </c>
      <c r="I345" s="31" t="n">
        <v>0</v>
      </c>
      <c r="J345" s="6" t="n">
        <v>0</v>
      </c>
      <c r="K345" s="12" t="n">
        <v>0</v>
      </c>
      <c r="L345" s="6" t="n">
        <v>368</v>
      </c>
      <c r="N345" s="18" t="n">
        <v>0</v>
      </c>
      <c r="O345" s="18" t="n">
        <v>0</v>
      </c>
      <c r="P345" s="18" t="n">
        <v>0</v>
      </c>
      <c r="Q345" s="18" t="n">
        <v>0.001119</v>
      </c>
    </row>
    <row r="346">
      <c r="A346" s="30" t="n">
        <v>4315313</v>
      </c>
      <c r="B346" s="5" t="inlineStr">
        <is>
          <t>Quatro Irmãos</t>
        </is>
      </c>
      <c r="C346" s="19">
        <f>N346</f>
        <v/>
      </c>
      <c r="D346" s="19">
        <f>O346</f>
        <v/>
      </c>
      <c r="E346" s="19">
        <f>P346</f>
        <v/>
      </c>
      <c r="F346" s="19">
        <f>Q346</f>
        <v/>
      </c>
      <c r="G346" s="19">
        <f>C346+D346+E346+F346</f>
        <v/>
      </c>
      <c r="H346" s="6" t="n">
        <v>0</v>
      </c>
      <c r="I346" s="31" t="n">
        <v>0</v>
      </c>
      <c r="J346" s="6" t="n">
        <v>0</v>
      </c>
      <c r="K346" s="12" t="n">
        <v>0</v>
      </c>
      <c r="L346" s="6" t="n">
        <v>200</v>
      </c>
      <c r="N346" s="18" t="n">
        <v>0</v>
      </c>
      <c r="O346" s="18" t="n">
        <v>0.041178</v>
      </c>
      <c r="P346" s="18" t="n">
        <v>0.044806</v>
      </c>
      <c r="Q346" s="18" t="n">
        <v>0.075851</v>
      </c>
    </row>
    <row r="347">
      <c r="A347" s="30" t="n">
        <v>4315321</v>
      </c>
      <c r="B347" s="5" t="inlineStr">
        <is>
          <t>Quevedos</t>
        </is>
      </c>
      <c r="C347" s="19">
        <f>N347</f>
        <v/>
      </c>
      <c r="D347" s="19">
        <f>O347</f>
        <v/>
      </c>
      <c r="E347" s="19">
        <f>P347</f>
        <v/>
      </c>
      <c r="F347" s="19">
        <f>Q347</f>
        <v/>
      </c>
      <c r="G347" s="19">
        <f>C347+D347+E347+F347</f>
        <v/>
      </c>
      <c r="H347" s="6" t="n">
        <v>0</v>
      </c>
      <c r="I347" s="31" t="n">
        <v>0</v>
      </c>
      <c r="J347" s="6" t="n">
        <v>448</v>
      </c>
      <c r="K347" s="12" t="n">
        <v>3.853</v>
      </c>
      <c r="L347" s="6" t="n">
        <v>165</v>
      </c>
      <c r="N347" s="18" t="n">
        <v>0.074976</v>
      </c>
      <c r="O347" s="18" t="n">
        <v>0.000464</v>
      </c>
      <c r="P347" s="18" t="n">
        <v>0.067537</v>
      </c>
      <c r="Q347" s="18" t="n">
        <v>0.083248</v>
      </c>
    </row>
    <row r="348">
      <c r="A348" s="30" t="n">
        <v>4315354</v>
      </c>
      <c r="B348" s="5" t="inlineStr">
        <is>
          <t>Quinze de Novembro</t>
        </is>
      </c>
      <c r="C348" s="19">
        <f>N348</f>
        <v/>
      </c>
      <c r="D348" s="19">
        <f>O348</f>
        <v/>
      </c>
      <c r="E348" s="19">
        <f>P348</f>
        <v/>
      </c>
      <c r="F348" s="19">
        <f>Q348</f>
        <v/>
      </c>
      <c r="G348" s="19">
        <f>C348+D348+E348+F348</f>
        <v/>
      </c>
      <c r="H348" s="6" t="n">
        <v>0</v>
      </c>
      <c r="I348" s="31" t="n">
        <v>0</v>
      </c>
      <c r="J348" s="6" t="n">
        <v>0</v>
      </c>
      <c r="K348" s="12" t="n">
        <v>0</v>
      </c>
      <c r="L348" s="6" t="n">
        <v>120.4</v>
      </c>
      <c r="N348" s="18" t="n">
        <v>0</v>
      </c>
      <c r="O348" s="18" t="n">
        <v>0.262099</v>
      </c>
      <c r="P348" s="18" t="n">
        <v>0.268952</v>
      </c>
      <c r="Q348" s="18" t="n">
        <v>0.282778</v>
      </c>
    </row>
    <row r="349">
      <c r="A349" s="30" t="n">
        <v>4315404</v>
      </c>
      <c r="B349" s="5" t="inlineStr">
        <is>
          <t>Redentora</t>
        </is>
      </c>
      <c r="C349" s="19">
        <f>N349</f>
        <v/>
      </c>
      <c r="D349" s="19">
        <f>O349</f>
        <v/>
      </c>
      <c r="E349" s="19">
        <f>P349</f>
        <v/>
      </c>
      <c r="F349" s="19">
        <f>Q349</f>
        <v/>
      </c>
      <c r="G349" s="19">
        <f>C349+D349+E349+F349</f>
        <v/>
      </c>
      <c r="H349" s="6" t="n">
        <v>0</v>
      </c>
      <c r="I349" s="31" t="n">
        <v>0</v>
      </c>
      <c r="J349" s="6" t="n">
        <v>0</v>
      </c>
      <c r="K349" s="12" t="n">
        <v>0</v>
      </c>
      <c r="L349" s="6" t="n">
        <v>259.4</v>
      </c>
      <c r="N349" s="18" t="n">
        <v>0</v>
      </c>
      <c r="O349" s="18" t="n">
        <v>0.01452</v>
      </c>
      <c r="P349" s="18" t="n">
        <v>0.049786</v>
      </c>
      <c r="Q349" s="18" t="n">
        <v>0.060596</v>
      </c>
    </row>
    <row r="350">
      <c r="A350" s="30" t="n">
        <v>4315453</v>
      </c>
      <c r="B350" s="5" t="inlineStr">
        <is>
          <t>Relvado</t>
        </is>
      </c>
      <c r="C350" s="19">
        <f>N350</f>
        <v/>
      </c>
      <c r="D350" s="19">
        <f>O350</f>
        <v/>
      </c>
      <c r="E350" s="19">
        <f>P350</f>
        <v/>
      </c>
      <c r="F350" s="19">
        <f>Q350</f>
        <v/>
      </c>
      <c r="G350" s="19">
        <f>C350+D350+E350+F350</f>
        <v/>
      </c>
      <c r="H350" s="6" t="n">
        <v>0</v>
      </c>
      <c r="I350" s="31" t="n">
        <v>0</v>
      </c>
      <c r="J350" s="6" t="n">
        <v>114</v>
      </c>
      <c r="K350" s="12" t="n">
        <v>0.98</v>
      </c>
      <c r="L350" s="6" t="n">
        <v>66.8</v>
      </c>
      <c r="N350" s="18" t="n">
        <v>0.019079</v>
      </c>
      <c r="O350" s="18" t="n">
        <v>0.289726</v>
      </c>
      <c r="P350" s="18" t="n">
        <v>0.227338</v>
      </c>
      <c r="Q350" s="18" t="n">
        <v>0.573821</v>
      </c>
    </row>
    <row r="351">
      <c r="A351" s="30" t="n">
        <v>4315503</v>
      </c>
      <c r="B351" s="5" t="inlineStr">
        <is>
          <t>Restinga Sêca</t>
        </is>
      </c>
      <c r="C351" s="19">
        <f>N351</f>
        <v/>
      </c>
      <c r="D351" s="19">
        <f>O351</f>
        <v/>
      </c>
      <c r="E351" s="19">
        <f>P351</f>
        <v/>
      </c>
      <c r="F351" s="19">
        <f>Q351</f>
        <v/>
      </c>
      <c r="G351" s="19">
        <f>C351+D351+E351+F351</f>
        <v/>
      </c>
      <c r="H351" s="6" t="n">
        <v>0</v>
      </c>
      <c r="I351" s="31" t="n">
        <v>0</v>
      </c>
      <c r="J351" s="6" t="n">
        <v>1956</v>
      </c>
      <c r="K351" s="12" t="n">
        <v>16.822</v>
      </c>
      <c r="L351" s="6" t="n">
        <v>92.5</v>
      </c>
      <c r="N351" s="18" t="n">
        <v>0.327351</v>
      </c>
      <c r="O351" s="18" t="n">
        <v>0.646189</v>
      </c>
      <c r="P351" s="18" t="n">
        <v>0.703253</v>
      </c>
      <c r="Q351" s="18" t="n">
        <v>0.624548</v>
      </c>
    </row>
    <row r="352">
      <c r="A352" s="30" t="n">
        <v>4315552</v>
      </c>
      <c r="B352" s="5" t="inlineStr">
        <is>
          <t>Rio dos Índios</t>
        </is>
      </c>
      <c r="C352" s="19">
        <f>N352</f>
        <v/>
      </c>
      <c r="D352" s="19">
        <f>O352</f>
        <v/>
      </c>
      <c r="E352" s="19">
        <f>P352</f>
        <v/>
      </c>
      <c r="F352" s="19">
        <f>Q352</f>
        <v/>
      </c>
      <c r="G352" s="19">
        <f>C352+D352+E352+F352</f>
        <v/>
      </c>
      <c r="H352" s="6" t="n">
        <v>0</v>
      </c>
      <c r="I352" s="31" t="n">
        <v>0</v>
      </c>
      <c r="J352" s="6" t="n">
        <v>54</v>
      </c>
      <c r="K352" s="12" t="n">
        <v>0.464</v>
      </c>
      <c r="L352" s="6" t="n">
        <v>269.3</v>
      </c>
      <c r="N352" s="18" t="n">
        <v>0.009037</v>
      </c>
      <c r="O352" s="18" t="n">
        <v>0</v>
      </c>
      <c r="P352" s="18" t="n">
        <v>0</v>
      </c>
      <c r="Q352" s="18" t="n">
        <v>0.035833</v>
      </c>
    </row>
    <row r="353">
      <c r="A353" s="30" t="n">
        <v>4315602</v>
      </c>
      <c r="B353" s="5" t="inlineStr">
        <is>
          <t>Rio Grande</t>
        </is>
      </c>
      <c r="C353" s="19">
        <f>N353</f>
        <v/>
      </c>
      <c r="D353" s="19">
        <f>O353</f>
        <v/>
      </c>
      <c r="E353" s="19">
        <f>P353</f>
        <v/>
      </c>
      <c r="F353" s="19">
        <f>Q353</f>
        <v/>
      </c>
      <c r="G353" s="19">
        <f>C353+D353+E353+F353</f>
        <v/>
      </c>
      <c r="H353" s="6" t="n">
        <v>0</v>
      </c>
      <c r="I353" s="31" t="n">
        <v>0</v>
      </c>
      <c r="J353" s="6" t="n">
        <v>0</v>
      </c>
      <c r="K353" s="12" t="n">
        <v>0</v>
      </c>
      <c r="L353" s="6" t="n">
        <v>285.3</v>
      </c>
      <c r="N353" s="18" t="n">
        <v>0</v>
      </c>
      <c r="O353" s="18" t="n">
        <v>0</v>
      </c>
      <c r="P353" s="18" t="n">
        <v>0</v>
      </c>
      <c r="Q353" s="18" t="n">
        <v>0.093128</v>
      </c>
    </row>
    <row r="354">
      <c r="A354" s="30" t="n">
        <v>4315701</v>
      </c>
      <c r="B354" s="5" t="inlineStr">
        <is>
          <t>Rio Pardo</t>
        </is>
      </c>
      <c r="C354" s="19">
        <f>N354</f>
        <v/>
      </c>
      <c r="D354" s="19">
        <f>O354</f>
        <v/>
      </c>
      <c r="E354" s="19">
        <f>P354</f>
        <v/>
      </c>
      <c r="F354" s="19">
        <f>Q354</f>
        <v/>
      </c>
      <c r="G354" s="19">
        <f>C354+D354+E354+F354</f>
        <v/>
      </c>
      <c r="H354" s="6" t="n">
        <v>0</v>
      </c>
      <c r="I354" s="31" t="n">
        <v>1</v>
      </c>
      <c r="J354" s="6" t="n">
        <v>5474</v>
      </c>
      <c r="K354" s="12" t="n">
        <v>47.076</v>
      </c>
      <c r="L354" s="6" t="n">
        <v>41.9</v>
      </c>
      <c r="N354" s="18" t="n">
        <v>0.916115</v>
      </c>
      <c r="O354" s="18" t="n">
        <v>1.536555</v>
      </c>
      <c r="P354" s="18" t="n">
        <v>2.785544</v>
      </c>
      <c r="Q354" s="18" t="n">
        <v>3.97815</v>
      </c>
    </row>
    <row r="355">
      <c r="A355" s="30" t="n">
        <v>4315750</v>
      </c>
      <c r="B355" s="5" t="inlineStr">
        <is>
          <t>Riozinho</t>
        </is>
      </c>
      <c r="C355" s="19">
        <f>N355</f>
        <v/>
      </c>
      <c r="D355" s="19">
        <f>O355</f>
        <v/>
      </c>
      <c r="E355" s="19">
        <f>P355</f>
        <v/>
      </c>
      <c r="F355" s="19">
        <f>Q355</f>
        <v/>
      </c>
      <c r="G355" s="19">
        <f>C355+D355+E355+F355</f>
        <v/>
      </c>
      <c r="H355" s="6" t="n">
        <v>0</v>
      </c>
      <c r="I355" s="31" t="n">
        <v>0</v>
      </c>
      <c r="J355" s="6" t="n">
        <v>0</v>
      </c>
      <c r="K355" s="12" t="n">
        <v>0</v>
      </c>
      <c r="L355" s="6" t="n">
        <v>194.3</v>
      </c>
      <c r="N355" s="18" t="n">
        <v>0</v>
      </c>
      <c r="O355" s="18" t="n">
        <v>0.27888</v>
      </c>
      <c r="P355" s="18" t="n">
        <v>0.105484</v>
      </c>
      <c r="Q355" s="18" t="n">
        <v>0.549539</v>
      </c>
    </row>
    <row r="356">
      <c r="A356" s="30" t="n">
        <v>4315800</v>
      </c>
      <c r="B356" s="5" t="inlineStr">
        <is>
          <t>Roca Sales</t>
        </is>
      </c>
      <c r="C356" s="19">
        <f>N356</f>
        <v/>
      </c>
      <c r="D356" s="19">
        <f>O356</f>
        <v/>
      </c>
      <c r="E356" s="19">
        <f>P356</f>
        <v/>
      </c>
      <c r="F356" s="19">
        <f>Q356</f>
        <v/>
      </c>
      <c r="G356" s="19">
        <f>C356+D356+E356+F356</f>
        <v/>
      </c>
      <c r="H356" s="6" t="n">
        <v>0</v>
      </c>
      <c r="I356" s="31" t="n">
        <v>0</v>
      </c>
      <c r="J356" s="6" t="n">
        <v>5</v>
      </c>
      <c r="K356" s="12" t="n">
        <v>0.043</v>
      </c>
      <c r="L356" s="6" t="n">
        <v>70.7</v>
      </c>
      <c r="N356" s="18" t="n">
        <v>0.000837</v>
      </c>
      <c r="O356" s="18" t="n">
        <v>10.689584</v>
      </c>
      <c r="P356" s="18" t="n">
        <v>0.704694</v>
      </c>
      <c r="Q356" s="18" t="n">
        <v>1.672093</v>
      </c>
    </row>
    <row r="357">
      <c r="A357" s="30" t="n">
        <v>4315909</v>
      </c>
      <c r="B357" s="5" t="inlineStr">
        <is>
          <t>Rodeio Bonito</t>
        </is>
      </c>
      <c r="C357" s="19">
        <f>N357</f>
        <v/>
      </c>
      <c r="D357" s="19">
        <f>O357</f>
        <v/>
      </c>
      <c r="E357" s="19">
        <f>P357</f>
        <v/>
      </c>
      <c r="F357" s="19">
        <f>Q357</f>
        <v/>
      </c>
      <c r="G357" s="19">
        <f>C357+D357+E357+F357</f>
        <v/>
      </c>
      <c r="H357" s="6" t="n">
        <v>0</v>
      </c>
      <c r="I357" s="31" t="n">
        <v>0</v>
      </c>
      <c r="J357" s="6" t="n">
        <v>54</v>
      </c>
      <c r="K357" s="12" t="n">
        <v>0.464</v>
      </c>
      <c r="L357" s="6" t="n">
        <v>253.2</v>
      </c>
      <c r="N357" s="18" t="n">
        <v>0.009037</v>
      </c>
      <c r="O357" s="18" t="n">
        <v>0.084506</v>
      </c>
      <c r="P357" s="18" t="n">
        <v>0.100644</v>
      </c>
      <c r="Q357" s="18" t="n">
        <v>0.061153</v>
      </c>
    </row>
    <row r="358">
      <c r="A358" s="30" t="n">
        <v>4315958</v>
      </c>
      <c r="B358" s="5" t="inlineStr">
        <is>
          <t>Rolador</t>
        </is>
      </c>
      <c r="C358" s="19">
        <f>N358</f>
        <v/>
      </c>
      <c r="D358" s="19">
        <f>O358</f>
        <v/>
      </c>
      <c r="E358" s="19">
        <f>P358</f>
        <v/>
      </c>
      <c r="F358" s="19">
        <f>Q358</f>
        <v/>
      </c>
      <c r="G358" s="19">
        <f>C358+D358+E358+F358</f>
        <v/>
      </c>
      <c r="H358" s="6" t="n">
        <v>0</v>
      </c>
      <c r="I358" s="31" t="n">
        <v>0</v>
      </c>
      <c r="J358" s="6" t="n">
        <v>0</v>
      </c>
      <c r="K358" s="12" t="n">
        <v>0</v>
      </c>
      <c r="L358" s="6" t="n">
        <v>282.3</v>
      </c>
      <c r="N358" s="18" t="n">
        <v>0</v>
      </c>
      <c r="O358" s="18" t="n">
        <v>0</v>
      </c>
      <c r="P358" s="18" t="n">
        <v>0</v>
      </c>
      <c r="Q358" s="18" t="n">
        <v>0.010429</v>
      </c>
    </row>
    <row r="359">
      <c r="A359" s="30" t="n">
        <v>4316006</v>
      </c>
      <c r="B359" s="5" t="inlineStr">
        <is>
          <t>Rolante</t>
        </is>
      </c>
      <c r="C359" s="19">
        <f>N359</f>
        <v/>
      </c>
      <c r="D359" s="19">
        <f>O359</f>
        <v/>
      </c>
      <c r="E359" s="19">
        <f>P359</f>
        <v/>
      </c>
      <c r="F359" s="19">
        <f>Q359</f>
        <v/>
      </c>
      <c r="G359" s="19">
        <f>C359+D359+E359+F359</f>
        <v/>
      </c>
      <c r="H359" s="6" t="n">
        <v>0</v>
      </c>
      <c r="I359" s="31" t="n">
        <v>0</v>
      </c>
      <c r="J359" s="6" t="n">
        <v>2</v>
      </c>
      <c r="K359" s="12" t="n">
        <v>0.017</v>
      </c>
      <c r="L359" s="6" t="n">
        <v>179.7</v>
      </c>
      <c r="N359" s="18" t="n">
        <v>0.000335</v>
      </c>
      <c r="O359" s="18" t="n">
        <v>0.963921</v>
      </c>
      <c r="P359" s="18" t="n">
        <v>0.352259</v>
      </c>
      <c r="Q359" s="18" t="n">
        <v>1.504224</v>
      </c>
    </row>
    <row r="360">
      <c r="A360" s="30" t="n">
        <v>4316105</v>
      </c>
      <c r="B360" s="5" t="inlineStr">
        <is>
          <t>Ronda Alta</t>
        </is>
      </c>
      <c r="C360" s="19">
        <f>N360</f>
        <v/>
      </c>
      <c r="D360" s="19">
        <f>O360</f>
        <v/>
      </c>
      <c r="E360" s="19">
        <f>P360</f>
        <v/>
      </c>
      <c r="F360" s="19">
        <f>Q360</f>
        <v/>
      </c>
      <c r="G360" s="19">
        <f>C360+D360+E360+F360</f>
        <v/>
      </c>
      <c r="H360" s="6" t="n">
        <v>0</v>
      </c>
      <c r="I360" s="31" t="n">
        <v>0</v>
      </c>
      <c r="J360" s="6" t="n">
        <v>0</v>
      </c>
      <c r="K360" s="12" t="n">
        <v>0</v>
      </c>
      <c r="L360" s="6" t="n">
        <v>206.2</v>
      </c>
      <c r="N360" s="18" t="n">
        <v>0</v>
      </c>
      <c r="O360" s="18" t="n">
        <v>0.125283</v>
      </c>
      <c r="P360" s="18" t="n">
        <v>0.189952</v>
      </c>
      <c r="Q360" s="18" t="n">
        <v>0.148113</v>
      </c>
    </row>
    <row r="361">
      <c r="A361" s="30" t="n">
        <v>4316204</v>
      </c>
      <c r="B361" s="5" t="inlineStr">
        <is>
          <t>Rondinha</t>
        </is>
      </c>
      <c r="C361" s="19">
        <f>N361</f>
        <v/>
      </c>
      <c r="D361" s="19">
        <f>O361</f>
        <v/>
      </c>
      <c r="E361" s="19">
        <f>P361</f>
        <v/>
      </c>
      <c r="F361" s="19">
        <f>Q361</f>
        <v/>
      </c>
      <c r="G361" s="19">
        <f>C361+D361+E361+F361</f>
        <v/>
      </c>
      <c r="H361" s="6" t="n">
        <v>0</v>
      </c>
      <c r="I361" s="31" t="n">
        <v>0</v>
      </c>
      <c r="J361" s="6" t="n">
        <v>8</v>
      </c>
      <c r="K361" s="12" t="n">
        <v>0.06900000000000001</v>
      </c>
      <c r="L361" s="6" t="n">
        <v>206.6</v>
      </c>
      <c r="N361" s="18" t="n">
        <v>0.001339</v>
      </c>
      <c r="O361" s="18" t="n">
        <v>0.066037</v>
      </c>
      <c r="P361" s="18" t="n">
        <v>0.117798</v>
      </c>
      <c r="Q361" s="18" t="n">
        <v>0.09987699999999999</v>
      </c>
    </row>
    <row r="362">
      <c r="A362" s="30" t="n">
        <v>4316303</v>
      </c>
      <c r="B362" s="5" t="inlineStr">
        <is>
          <t>Roque Gonzales</t>
        </is>
      </c>
      <c r="C362" s="19">
        <f>N362</f>
        <v/>
      </c>
      <c r="D362" s="19">
        <f>O362</f>
        <v/>
      </c>
      <c r="E362" s="19">
        <f>P362</f>
        <v/>
      </c>
      <c r="F362" s="19">
        <f>Q362</f>
        <v/>
      </c>
      <c r="G362" s="19">
        <f>C362+D362+E362+F362</f>
        <v/>
      </c>
      <c r="H362" s="6" t="n">
        <v>0</v>
      </c>
      <c r="I362" s="31" t="n">
        <v>0</v>
      </c>
      <c r="J362" s="6" t="n">
        <v>0</v>
      </c>
      <c r="K362" s="12" t="n">
        <v>0</v>
      </c>
      <c r="L362" s="6" t="n">
        <v>315.1</v>
      </c>
      <c r="N362" s="18" t="n">
        <v>0</v>
      </c>
      <c r="O362" s="18" t="n">
        <v>0</v>
      </c>
      <c r="P362" s="18" t="n">
        <v>0</v>
      </c>
      <c r="Q362" s="18" t="n">
        <v>0.011118</v>
      </c>
    </row>
    <row r="363">
      <c r="A363" s="30" t="n">
        <v>4316402</v>
      </c>
      <c r="B363" s="5" t="inlineStr">
        <is>
          <t>Rosário do Sul</t>
        </is>
      </c>
      <c r="C363" s="19">
        <f>N363</f>
        <v/>
      </c>
      <c r="D363" s="19">
        <f>O363</f>
        <v/>
      </c>
      <c r="E363" s="19">
        <f>P363</f>
        <v/>
      </c>
      <c r="F363" s="19">
        <f>Q363</f>
        <v/>
      </c>
      <c r="G363" s="19">
        <f>C363+D363+E363+F363</f>
        <v/>
      </c>
      <c r="H363" s="6" t="n">
        <v>0</v>
      </c>
      <c r="I363" s="31" t="n">
        <v>0</v>
      </c>
      <c r="J363" s="6" t="n">
        <v>0</v>
      </c>
      <c r="K363" s="12" t="n">
        <v>0</v>
      </c>
      <c r="L363" s="6" t="n">
        <v>271.6</v>
      </c>
      <c r="N363" s="18" t="n">
        <v>0</v>
      </c>
      <c r="O363" s="18" t="n">
        <v>0</v>
      </c>
      <c r="P363" s="18" t="n">
        <v>0</v>
      </c>
      <c r="Q363" s="18" t="n">
        <v>0.023476</v>
      </c>
    </row>
    <row r="364">
      <c r="A364" s="30" t="n">
        <v>4316428</v>
      </c>
      <c r="B364" s="5" t="inlineStr">
        <is>
          <t>Sagrada Família</t>
        </is>
      </c>
      <c r="C364" s="19">
        <f>N364</f>
        <v/>
      </c>
      <c r="D364" s="19">
        <f>O364</f>
        <v/>
      </c>
      <c r="E364" s="19">
        <f>P364</f>
        <v/>
      </c>
      <c r="F364" s="19">
        <f>Q364</f>
        <v/>
      </c>
      <c r="G364" s="19">
        <f>C364+D364+E364+F364</f>
        <v/>
      </c>
      <c r="H364" s="6" t="n">
        <v>0</v>
      </c>
      <c r="I364" s="31" t="n">
        <v>0</v>
      </c>
      <c r="J364" s="6" t="n">
        <v>0</v>
      </c>
      <c r="K364" s="12" t="n">
        <v>0</v>
      </c>
      <c r="L364" s="6" t="n">
        <v>226.3</v>
      </c>
      <c r="N364" s="18" t="n">
        <v>0</v>
      </c>
      <c r="O364" s="18" t="n">
        <v>0.052801</v>
      </c>
      <c r="P364" s="18" t="n">
        <v>0.046143</v>
      </c>
      <c r="Q364" s="18" t="n">
        <v>0.053751</v>
      </c>
    </row>
    <row r="365">
      <c r="A365" s="30" t="n">
        <v>4316436</v>
      </c>
      <c r="B365" s="5" t="inlineStr">
        <is>
          <t>Saldanha Marinho</t>
        </is>
      </c>
      <c r="C365" s="19">
        <f>N365</f>
        <v/>
      </c>
      <c r="D365" s="19">
        <f>O365</f>
        <v/>
      </c>
      <c r="E365" s="19">
        <f>P365</f>
        <v/>
      </c>
      <c r="F365" s="19">
        <f>Q365</f>
        <v/>
      </c>
      <c r="G365" s="19">
        <f>C365+D365+E365+F365</f>
        <v/>
      </c>
      <c r="H365" s="6" t="n">
        <v>0</v>
      </c>
      <c r="I365" s="31" t="n">
        <v>0</v>
      </c>
      <c r="J365" s="6" t="n">
        <v>0</v>
      </c>
      <c r="K365" s="12" t="n">
        <v>0</v>
      </c>
      <c r="L365" s="6" t="n">
        <v>154.8</v>
      </c>
      <c r="N365" s="18" t="n">
        <v>0</v>
      </c>
      <c r="O365" s="18" t="n">
        <v>0.042614</v>
      </c>
      <c r="P365" s="18" t="n">
        <v>0.126707</v>
      </c>
      <c r="Q365" s="18" t="n">
        <v>0.1742</v>
      </c>
    </row>
    <row r="366">
      <c r="A366" s="30" t="n">
        <v>4316451</v>
      </c>
      <c r="B366" s="5" t="inlineStr">
        <is>
          <t>Salto do Jacuí</t>
        </is>
      </c>
      <c r="C366" s="19">
        <f>N366</f>
        <v/>
      </c>
      <c r="D366" s="19">
        <f>O366</f>
        <v/>
      </c>
      <c r="E366" s="19">
        <f>P366</f>
        <v/>
      </c>
      <c r="F366" s="19">
        <f>Q366</f>
        <v/>
      </c>
      <c r="G366" s="19">
        <f>C366+D366+E366+F366</f>
        <v/>
      </c>
      <c r="H366" s="6" t="n">
        <v>0</v>
      </c>
      <c r="I366" s="31" t="n">
        <v>0</v>
      </c>
      <c r="J366" s="6" t="n">
        <v>333</v>
      </c>
      <c r="K366" s="12" t="n">
        <v>2.864</v>
      </c>
      <c r="L366" s="6" t="n">
        <v>104.2</v>
      </c>
      <c r="N366" s="18" t="n">
        <v>0.05573</v>
      </c>
      <c r="O366" s="18" t="n">
        <v>0.383555</v>
      </c>
      <c r="P366" s="18" t="n">
        <v>0.522903</v>
      </c>
      <c r="Q366" s="18" t="n">
        <v>0.531467</v>
      </c>
    </row>
    <row r="367">
      <c r="A367" s="30" t="n">
        <v>4316477</v>
      </c>
      <c r="B367" s="5" t="inlineStr">
        <is>
          <t>Salvador das Missões</t>
        </is>
      </c>
      <c r="C367" s="19">
        <f>N367</f>
        <v/>
      </c>
      <c r="D367" s="19">
        <f>O367</f>
        <v/>
      </c>
      <c r="E367" s="19">
        <f>P367</f>
        <v/>
      </c>
      <c r="F367" s="19">
        <f>Q367</f>
        <v/>
      </c>
      <c r="G367" s="19">
        <f>C367+D367+E367+F367</f>
        <v/>
      </c>
      <c r="H367" s="6" t="n">
        <v>0</v>
      </c>
      <c r="I367" s="31" t="n">
        <v>0</v>
      </c>
      <c r="J367" s="6" t="n">
        <v>0</v>
      </c>
      <c r="K367" s="12" t="n">
        <v>0</v>
      </c>
      <c r="L367" s="6" t="n">
        <v>292</v>
      </c>
      <c r="N367" s="18" t="n">
        <v>0</v>
      </c>
      <c r="O367" s="18" t="n">
        <v>0</v>
      </c>
      <c r="P367" s="18" t="n">
        <v>0</v>
      </c>
      <c r="Q367" s="18" t="n">
        <v>0.011144</v>
      </c>
    </row>
    <row r="368">
      <c r="A368" s="30" t="n">
        <v>4316501</v>
      </c>
      <c r="B368" s="5" t="inlineStr">
        <is>
          <t>Salvador do Sul</t>
        </is>
      </c>
      <c r="C368" s="19">
        <f>N368</f>
        <v/>
      </c>
      <c r="D368" s="19">
        <f>O368</f>
        <v/>
      </c>
      <c r="E368" s="19">
        <f>P368</f>
        <v/>
      </c>
      <c r="F368" s="19">
        <f>Q368</f>
        <v/>
      </c>
      <c r="G368" s="19">
        <f>C368+D368+E368+F368</f>
        <v/>
      </c>
      <c r="H368" s="6" t="n">
        <v>0</v>
      </c>
      <c r="I368" s="31" t="n">
        <v>0</v>
      </c>
      <c r="J368" s="6" t="n">
        <v>0</v>
      </c>
      <c r="K368" s="12" t="n">
        <v>0</v>
      </c>
      <c r="L368" s="6" t="n">
        <v>87</v>
      </c>
      <c r="N368" s="18" t="n">
        <v>0</v>
      </c>
      <c r="O368" s="18" t="n">
        <v>5.450311</v>
      </c>
      <c r="P368" s="18" t="n">
        <v>0.63796</v>
      </c>
      <c r="Q368" s="18" t="n">
        <v>1.434038</v>
      </c>
    </row>
    <row r="369">
      <c r="A369" s="30" t="n">
        <v>4316600</v>
      </c>
      <c r="B369" s="5" t="inlineStr">
        <is>
          <t>Sananduva</t>
        </is>
      </c>
      <c r="C369" s="19">
        <f>N369</f>
        <v/>
      </c>
      <c r="D369" s="19">
        <f>O369</f>
        <v/>
      </c>
      <c r="E369" s="19">
        <f>P369</f>
        <v/>
      </c>
      <c r="F369" s="19">
        <f>Q369</f>
        <v/>
      </c>
      <c r="G369" s="19">
        <f>C369+D369+E369+F369</f>
        <v/>
      </c>
      <c r="H369" s="6" t="n">
        <v>0</v>
      </c>
      <c r="I369" s="31" t="n">
        <v>0</v>
      </c>
      <c r="J369" s="6" t="n">
        <v>0</v>
      </c>
      <c r="K369" s="12" t="n">
        <v>0</v>
      </c>
      <c r="L369" s="6" t="n">
        <v>196.4</v>
      </c>
      <c r="N369" s="18" t="n">
        <v>0</v>
      </c>
      <c r="O369" s="18" t="n">
        <v>0.516631</v>
      </c>
      <c r="P369" s="18" t="n">
        <v>0.343628</v>
      </c>
      <c r="Q369" s="18" t="n">
        <v>0.363317</v>
      </c>
    </row>
    <row r="370">
      <c r="A370" s="30" t="n">
        <v>4316709</v>
      </c>
      <c r="B370" s="5" t="inlineStr">
        <is>
          <t>Santa Bárbara do Sul</t>
        </is>
      </c>
      <c r="C370" s="19">
        <f>N370</f>
        <v/>
      </c>
      <c r="D370" s="19">
        <f>O370</f>
        <v/>
      </c>
      <c r="E370" s="19">
        <f>P370</f>
        <v/>
      </c>
      <c r="F370" s="19">
        <f>Q370</f>
        <v/>
      </c>
      <c r="G370" s="19">
        <f>C370+D370+E370+F370</f>
        <v/>
      </c>
      <c r="H370" s="6" t="n">
        <v>0</v>
      </c>
      <c r="I370" s="31" t="n">
        <v>0</v>
      </c>
      <c r="J370" s="6" t="n">
        <v>0</v>
      </c>
      <c r="K370" s="12" t="n">
        <v>0</v>
      </c>
      <c r="L370" s="6" t="n">
        <v>164.9</v>
      </c>
      <c r="N370" s="18" t="n">
        <v>0</v>
      </c>
      <c r="O370" s="18" t="n">
        <v>0.188838</v>
      </c>
      <c r="P370" s="18" t="n">
        <v>0.280595</v>
      </c>
      <c r="Q370" s="18" t="n">
        <v>0.252738</v>
      </c>
    </row>
    <row r="371">
      <c r="A371" s="30" t="n">
        <v>4316733</v>
      </c>
      <c r="B371" s="5" t="inlineStr">
        <is>
          <t>Santa Cecília do Sul</t>
        </is>
      </c>
      <c r="C371" s="19">
        <f>N371</f>
        <v/>
      </c>
      <c r="D371" s="19">
        <f>O371</f>
        <v/>
      </c>
      <c r="E371" s="19">
        <f>P371</f>
        <v/>
      </c>
      <c r="F371" s="19">
        <f>Q371</f>
        <v/>
      </c>
      <c r="G371" s="19">
        <f>C371+D371+E371+F371</f>
        <v/>
      </c>
      <c r="H371" s="6" t="n">
        <v>0</v>
      </c>
      <c r="I371" s="31" t="n">
        <v>0</v>
      </c>
      <c r="J371" s="6" t="n">
        <v>0</v>
      </c>
      <c r="K371" s="12" t="n">
        <v>0</v>
      </c>
      <c r="L371" s="6" t="n">
        <v>169.8</v>
      </c>
      <c r="N371" s="18" t="n">
        <v>0</v>
      </c>
      <c r="O371" s="18" t="n">
        <v>0.033442</v>
      </c>
      <c r="P371" s="18" t="n">
        <v>0.064731</v>
      </c>
      <c r="Q371" s="18" t="n">
        <v>0.187114</v>
      </c>
    </row>
    <row r="372">
      <c r="A372" s="30" t="n">
        <v>4316758</v>
      </c>
      <c r="B372" s="5" t="inlineStr">
        <is>
          <t>Santa Clara do Sul</t>
        </is>
      </c>
      <c r="C372" s="19">
        <f>N372</f>
        <v/>
      </c>
      <c r="D372" s="19">
        <f>O372</f>
        <v/>
      </c>
      <c r="E372" s="19">
        <f>P372</f>
        <v/>
      </c>
      <c r="F372" s="19">
        <f>Q372</f>
        <v/>
      </c>
      <c r="G372" s="19">
        <f>C372+D372+E372+F372</f>
        <v/>
      </c>
      <c r="H372" s="6" t="n">
        <v>0</v>
      </c>
      <c r="I372" s="31" t="n">
        <v>0</v>
      </c>
      <c r="J372" s="6" t="n">
        <v>228</v>
      </c>
      <c r="K372" s="12" t="n">
        <v>1.961</v>
      </c>
      <c r="L372" s="6" t="n">
        <v>34.1</v>
      </c>
      <c r="N372" s="18" t="n">
        <v>0.038158</v>
      </c>
      <c r="O372" s="18" t="n">
        <v>1.551271</v>
      </c>
      <c r="P372" s="18" t="n">
        <v>1.076084</v>
      </c>
      <c r="Q372" s="18" t="n">
        <v>1.714758</v>
      </c>
    </row>
    <row r="373">
      <c r="A373" s="30" t="n">
        <v>4316808</v>
      </c>
      <c r="B373" s="5" t="inlineStr">
        <is>
          <t>Santa Cruz do Sul</t>
        </is>
      </c>
      <c r="C373" s="19">
        <f>N373</f>
        <v/>
      </c>
      <c r="D373" s="19">
        <f>O373</f>
        <v/>
      </c>
      <c r="E373" s="19">
        <f>P373+$B$5</f>
        <v/>
      </c>
      <c r="F373" s="19">
        <f>Q373+$B$6</f>
        <v/>
      </c>
      <c r="G373" s="19">
        <f>C373+D373+E373+F373</f>
        <v/>
      </c>
      <c r="H373" s="6" t="n">
        <v>7830</v>
      </c>
      <c r="I373" s="31" t="n">
        <v>1</v>
      </c>
      <c r="J373" s="6" t="n">
        <v>12610</v>
      </c>
      <c r="K373" s="12" t="n">
        <v>108.446</v>
      </c>
      <c r="L373" s="6" t="n">
        <v>0</v>
      </c>
      <c r="N373" s="18" t="n">
        <v>2.110379</v>
      </c>
      <c r="O373" s="18" t="n">
        <v>78.706507</v>
      </c>
      <c r="P373" s="18" t="n">
        <v>154.82804</v>
      </c>
      <c r="Q373" s="18" t="n">
        <v>222.476173</v>
      </c>
    </row>
    <row r="374">
      <c r="A374" s="30" t="n">
        <v>4316907</v>
      </c>
      <c r="B374" s="5" t="inlineStr">
        <is>
          <t>Santa Maria</t>
        </is>
      </c>
      <c r="C374" s="19">
        <f>N374</f>
        <v/>
      </c>
      <c r="D374" s="19">
        <f>O374</f>
        <v/>
      </c>
      <c r="E374" s="19">
        <f>P374</f>
        <v/>
      </c>
      <c r="F374" s="19">
        <f>Q374</f>
        <v/>
      </c>
      <c r="G374" s="19">
        <f>C374+D374+E374+F374</f>
        <v/>
      </c>
      <c r="H374" s="6" t="n">
        <v>0</v>
      </c>
      <c r="I374" s="31" t="n">
        <v>0</v>
      </c>
      <c r="J374" s="6" t="n">
        <v>104</v>
      </c>
      <c r="K374" s="12" t="n">
        <v>0.894</v>
      </c>
      <c r="L374" s="6" t="n">
        <v>137.9</v>
      </c>
      <c r="N374" s="18" t="n">
        <v>0.017405</v>
      </c>
      <c r="O374" s="18" t="n">
        <v>15.23519</v>
      </c>
      <c r="P374" s="18" t="n">
        <v>2.634975</v>
      </c>
      <c r="Q374" s="18" t="n">
        <v>1.364655</v>
      </c>
    </row>
    <row r="375">
      <c r="A375" s="30" t="n">
        <v>4316956</v>
      </c>
      <c r="B375" s="5" t="inlineStr">
        <is>
          <t>Santa Maria do Herval</t>
        </is>
      </c>
      <c r="C375" s="19">
        <f>N375</f>
        <v/>
      </c>
      <c r="D375" s="19">
        <f>O375</f>
        <v/>
      </c>
      <c r="E375" s="19">
        <f>P375</f>
        <v/>
      </c>
      <c r="F375" s="19">
        <f>Q375</f>
        <v/>
      </c>
      <c r="G375" s="19">
        <f>C375+D375+E375+F375</f>
        <v/>
      </c>
      <c r="H375" s="6" t="n">
        <v>0</v>
      </c>
      <c r="I375" s="31" t="n">
        <v>0</v>
      </c>
      <c r="J375" s="6" t="n">
        <v>3</v>
      </c>
      <c r="K375" s="12" t="n">
        <v>0.026</v>
      </c>
      <c r="L375" s="6" t="n">
        <v>140.5</v>
      </c>
      <c r="N375" s="18" t="n">
        <v>0.000502</v>
      </c>
      <c r="O375" s="18" t="n">
        <v>0.49763</v>
      </c>
      <c r="P375" s="18" t="n">
        <v>0.279384</v>
      </c>
      <c r="Q375" s="18" t="n">
        <v>1.167031</v>
      </c>
    </row>
    <row r="376">
      <c r="A376" s="30" t="n">
        <v>4316972</v>
      </c>
      <c r="B376" s="5" t="inlineStr">
        <is>
          <t>Santa Margarida do Sul</t>
        </is>
      </c>
      <c r="C376" s="19">
        <f>N376</f>
        <v/>
      </c>
      <c r="D376" s="19">
        <f>O376</f>
        <v/>
      </c>
      <c r="E376" s="19">
        <f>P376</f>
        <v/>
      </c>
      <c r="F376" s="19">
        <f>Q376</f>
        <v/>
      </c>
      <c r="G376" s="19">
        <f>C376+D376+E376+F376</f>
        <v/>
      </c>
      <c r="H376" s="6" t="n">
        <v>0</v>
      </c>
      <c r="I376" s="31" t="n">
        <v>0</v>
      </c>
      <c r="J376" s="6" t="n">
        <v>0</v>
      </c>
      <c r="K376" s="12" t="n">
        <v>0</v>
      </c>
      <c r="L376" s="6" t="n">
        <v>181.7</v>
      </c>
      <c r="N376" s="18" t="n">
        <v>0</v>
      </c>
      <c r="O376" s="18" t="n">
        <v>0.044667</v>
      </c>
      <c r="P376" s="18" t="n">
        <v>0.060727</v>
      </c>
      <c r="Q376" s="18" t="n">
        <v>0.033734</v>
      </c>
    </row>
    <row r="377">
      <c r="A377" s="30" t="n">
        <v>4317004</v>
      </c>
      <c r="B377" s="5" t="inlineStr">
        <is>
          <t>Santana da Boa Vista</t>
        </is>
      </c>
      <c r="C377" s="19">
        <f>N377</f>
        <v/>
      </c>
      <c r="D377" s="19">
        <f>O377</f>
        <v/>
      </c>
      <c r="E377" s="19">
        <f>P377</f>
        <v/>
      </c>
      <c r="F377" s="19">
        <f>Q377</f>
        <v/>
      </c>
      <c r="G377" s="19">
        <f>C377+D377+E377+F377</f>
        <v/>
      </c>
      <c r="H377" s="6" t="n">
        <v>0</v>
      </c>
      <c r="I377" s="31" t="n">
        <v>0</v>
      </c>
      <c r="J377" s="6" t="n">
        <v>2</v>
      </c>
      <c r="K377" s="12" t="n">
        <v>0.017</v>
      </c>
      <c r="L377" s="6" t="n">
        <v>149.5</v>
      </c>
      <c r="N377" s="18" t="n">
        <v>0.000335</v>
      </c>
      <c r="O377" s="18" t="n">
        <v>0.038356</v>
      </c>
      <c r="P377" s="18" t="n">
        <v>0.18275</v>
      </c>
      <c r="Q377" s="18" t="n">
        <v>0.160307</v>
      </c>
    </row>
    <row r="378">
      <c r="A378" s="30" t="n">
        <v>4317103</v>
      </c>
      <c r="B378" s="5" t="inlineStr">
        <is>
          <t>Sant'ana do Livramento</t>
        </is>
      </c>
      <c r="C378" s="19">
        <f>N378</f>
        <v/>
      </c>
      <c r="D378" s="19">
        <f>O378</f>
        <v/>
      </c>
      <c r="E378" s="19">
        <f>P378</f>
        <v/>
      </c>
      <c r="F378" s="19">
        <f>Q378</f>
        <v/>
      </c>
      <c r="G378" s="19">
        <f>C378+D378+E378+F378</f>
        <v/>
      </c>
      <c r="H378" s="6" t="n">
        <v>0</v>
      </c>
      <c r="I378" s="31" t="n">
        <v>0</v>
      </c>
      <c r="J378" s="6" t="n">
        <v>0</v>
      </c>
      <c r="K378" s="12" t="n">
        <v>0</v>
      </c>
      <c r="L378" s="6" t="n">
        <v>326.9</v>
      </c>
      <c r="N378" s="18" t="n">
        <v>0</v>
      </c>
      <c r="O378" s="18" t="n">
        <v>0</v>
      </c>
      <c r="P378" s="18" t="n">
        <v>0</v>
      </c>
      <c r="Q378" s="18" t="n">
        <v>0.004845</v>
      </c>
    </row>
    <row r="379">
      <c r="A379" s="30" t="n">
        <v>4317202</v>
      </c>
      <c r="B379" s="5" t="inlineStr">
        <is>
          <t>Santa Rosa</t>
        </is>
      </c>
      <c r="C379" s="19">
        <f>N379</f>
        <v/>
      </c>
      <c r="D379" s="19">
        <f>O379</f>
        <v/>
      </c>
      <c r="E379" s="19">
        <f>P379</f>
        <v/>
      </c>
      <c r="F379" s="19">
        <f>Q379</f>
        <v/>
      </c>
      <c r="G379" s="19">
        <f>C379+D379+E379+F379</f>
        <v/>
      </c>
      <c r="H379" s="6" t="n">
        <v>0</v>
      </c>
      <c r="I379" s="31" t="n">
        <v>0</v>
      </c>
      <c r="J379" s="6" t="n">
        <v>0</v>
      </c>
      <c r="K379" s="12" t="n">
        <v>0</v>
      </c>
      <c r="L379" s="6" t="n">
        <v>284</v>
      </c>
      <c r="N379" s="18" t="n">
        <v>0</v>
      </c>
      <c r="O379" s="18" t="n">
        <v>0</v>
      </c>
      <c r="P379" s="18" t="n">
        <v>0</v>
      </c>
      <c r="Q379" s="18" t="n">
        <v>0.08139100000000001</v>
      </c>
    </row>
    <row r="380">
      <c r="A380" s="30" t="n">
        <v>4317251</v>
      </c>
      <c r="B380" s="5" t="inlineStr">
        <is>
          <t>Santa Tereza</t>
        </is>
      </c>
      <c r="C380" s="19">
        <f>N380</f>
        <v/>
      </c>
      <c r="D380" s="19">
        <f>O380</f>
        <v/>
      </c>
      <c r="E380" s="19">
        <f>P380</f>
        <v/>
      </c>
      <c r="F380" s="19">
        <f>Q380</f>
        <v/>
      </c>
      <c r="G380" s="19">
        <f>C380+D380+E380+F380</f>
        <v/>
      </c>
      <c r="H380" s="6" t="n">
        <v>0</v>
      </c>
      <c r="I380" s="31" t="n">
        <v>0</v>
      </c>
      <c r="J380" s="6" t="n">
        <v>0</v>
      </c>
      <c r="K380" s="12" t="n">
        <v>0</v>
      </c>
      <c r="L380" s="6" t="n">
        <v>86.2</v>
      </c>
      <c r="N380" s="18" t="n">
        <v>0</v>
      </c>
      <c r="O380" s="18" t="n">
        <v>0.199952</v>
      </c>
      <c r="P380" s="18" t="n">
        <v>0.126941</v>
      </c>
      <c r="Q380" s="18" t="n">
        <v>0.5838100000000001</v>
      </c>
    </row>
    <row r="381">
      <c r="A381" s="30" t="n">
        <v>4317301</v>
      </c>
      <c r="B381" s="5" t="inlineStr">
        <is>
          <t>Santa Vitória do Palmar</t>
        </is>
      </c>
      <c r="C381" s="19">
        <f>N381</f>
        <v/>
      </c>
      <c r="D381" s="19">
        <f>O381</f>
        <v/>
      </c>
      <c r="E381" s="19">
        <f>P381</f>
        <v/>
      </c>
      <c r="F381" s="19">
        <f>Q381</f>
        <v/>
      </c>
      <c r="G381" s="19">
        <f>C381+D381+E381+F381</f>
        <v/>
      </c>
      <c r="H381" s="6" t="n">
        <v>0</v>
      </c>
      <c r="I381" s="31" t="n">
        <v>0</v>
      </c>
      <c r="J381" s="6" t="n">
        <v>0</v>
      </c>
      <c r="K381" s="12" t="n">
        <v>0</v>
      </c>
      <c r="L381" s="6" t="n">
        <v>394.3</v>
      </c>
      <c r="N381" s="18" t="n">
        <v>0</v>
      </c>
      <c r="O381" s="18" t="n">
        <v>0</v>
      </c>
      <c r="P381" s="18" t="n">
        <v>0</v>
      </c>
      <c r="Q381" s="18" t="n">
        <v>0.000327</v>
      </c>
    </row>
    <row r="382">
      <c r="A382" s="30" t="n">
        <v>4317400</v>
      </c>
      <c r="B382" s="5" t="inlineStr">
        <is>
          <t>Santiago</t>
        </is>
      </c>
      <c r="C382" s="19">
        <f>N382</f>
        <v/>
      </c>
      <c r="D382" s="19">
        <f>O382</f>
        <v/>
      </c>
      <c r="E382" s="19">
        <f>P382</f>
        <v/>
      </c>
      <c r="F382" s="19">
        <f>Q382</f>
        <v/>
      </c>
      <c r="G382" s="19">
        <f>C382+D382+E382+F382</f>
        <v/>
      </c>
      <c r="H382" s="6" t="n">
        <v>0</v>
      </c>
      <c r="I382" s="31" t="n">
        <v>0</v>
      </c>
      <c r="J382" s="6" t="n">
        <v>258</v>
      </c>
      <c r="K382" s="12" t="n">
        <v>2.219</v>
      </c>
      <c r="L382" s="6" t="n">
        <v>238.8</v>
      </c>
      <c r="N382" s="18" t="n">
        <v>0.043178</v>
      </c>
      <c r="O382" s="18" t="n">
        <v>0.29143</v>
      </c>
      <c r="P382" s="18" t="n">
        <v>0.336608</v>
      </c>
      <c r="Q382" s="18" t="n">
        <v>0.07729999999999999</v>
      </c>
    </row>
    <row r="383">
      <c r="A383" s="30" t="n">
        <v>4317509</v>
      </c>
      <c r="B383" s="5" t="inlineStr">
        <is>
          <t>Santo Ângelo</t>
        </is>
      </c>
      <c r="C383" s="19">
        <f>N383</f>
        <v/>
      </c>
      <c r="D383" s="19">
        <f>O383</f>
        <v/>
      </c>
      <c r="E383" s="19">
        <f>P383</f>
        <v/>
      </c>
      <c r="F383" s="19">
        <f>Q383</f>
        <v/>
      </c>
      <c r="G383" s="19">
        <f>C383+D383+E383+F383</f>
        <v/>
      </c>
      <c r="H383" s="6" t="n">
        <v>0</v>
      </c>
      <c r="I383" s="31" t="n">
        <v>0</v>
      </c>
      <c r="J383" s="6" t="n">
        <v>0</v>
      </c>
      <c r="K383" s="12" t="n">
        <v>0</v>
      </c>
      <c r="L383" s="6" t="n">
        <v>240.6</v>
      </c>
      <c r="N383" s="18" t="n">
        <v>0</v>
      </c>
      <c r="O383" s="18" t="n">
        <v>2.037055</v>
      </c>
      <c r="P383" s="18" t="n">
        <v>0.450004</v>
      </c>
      <c r="Q383" s="18" t="n">
        <v>0.154005</v>
      </c>
    </row>
    <row r="384">
      <c r="A384" s="30" t="n">
        <v>4317558</v>
      </c>
      <c r="B384" s="5" t="inlineStr">
        <is>
          <t>Santo Antônio do Palma</t>
        </is>
      </c>
      <c r="C384" s="19">
        <f>N384</f>
        <v/>
      </c>
      <c r="D384" s="19">
        <f>O384</f>
        <v/>
      </c>
      <c r="E384" s="19">
        <f>P384</f>
        <v/>
      </c>
      <c r="F384" s="19">
        <f>Q384</f>
        <v/>
      </c>
      <c r="G384" s="19">
        <f>C384+D384+E384+F384</f>
        <v/>
      </c>
      <c r="H384" s="6" t="n">
        <v>0</v>
      </c>
      <c r="I384" s="31" t="n">
        <v>0</v>
      </c>
      <c r="J384" s="6" t="n">
        <v>63</v>
      </c>
      <c r="K384" s="12" t="n">
        <v>0.542</v>
      </c>
      <c r="L384" s="6" t="n">
        <v>133.4</v>
      </c>
      <c r="N384" s="18" t="n">
        <v>0.010544</v>
      </c>
      <c r="O384" s="18" t="n">
        <v>0.159538</v>
      </c>
      <c r="P384" s="18" t="n">
        <v>0.12211</v>
      </c>
      <c r="Q384" s="18" t="n">
        <v>0.329614</v>
      </c>
    </row>
    <row r="385">
      <c r="A385" s="30" t="n">
        <v>4317608</v>
      </c>
      <c r="B385" s="5" t="inlineStr">
        <is>
          <t>Santo Antônio da Patrulha</t>
        </is>
      </c>
      <c r="C385" s="19">
        <f>N385</f>
        <v/>
      </c>
      <c r="D385" s="19">
        <f>O385</f>
        <v/>
      </c>
      <c r="E385" s="19">
        <f>P385</f>
        <v/>
      </c>
      <c r="F385" s="19">
        <f>Q385</f>
        <v/>
      </c>
      <c r="G385" s="19">
        <f>C385+D385+E385+F385</f>
        <v/>
      </c>
      <c r="H385" s="6" t="n">
        <v>0</v>
      </c>
      <c r="I385" s="31" t="n">
        <v>0</v>
      </c>
      <c r="J385" s="6" t="n">
        <v>4</v>
      </c>
      <c r="K385" s="12" t="n">
        <v>0.034</v>
      </c>
      <c r="L385" s="6" t="n">
        <v>180.3</v>
      </c>
      <c r="N385" s="18" t="n">
        <v>0.000669</v>
      </c>
      <c r="O385" s="18" t="n">
        <v>2.810666</v>
      </c>
      <c r="P385" s="18" t="n">
        <v>0.5579539999999999</v>
      </c>
      <c r="Q385" s="18" t="n">
        <v>2.02597</v>
      </c>
    </row>
    <row r="386">
      <c r="A386" s="30" t="n">
        <v>4317707</v>
      </c>
      <c r="B386" s="5" t="inlineStr">
        <is>
          <t>Santo Antônio das Missões</t>
        </is>
      </c>
      <c r="C386" s="19">
        <f>N386</f>
        <v/>
      </c>
      <c r="D386" s="19">
        <f>O386</f>
        <v/>
      </c>
      <c r="E386" s="19">
        <f>P386</f>
        <v/>
      </c>
      <c r="F386" s="19">
        <f>Q386</f>
        <v/>
      </c>
      <c r="G386" s="19">
        <f>C386+D386+E386+F386</f>
        <v/>
      </c>
      <c r="H386" s="6" t="n">
        <v>0</v>
      </c>
      <c r="I386" s="31" t="n">
        <v>0</v>
      </c>
      <c r="J386" s="6" t="n">
        <v>0</v>
      </c>
      <c r="K386" s="12" t="n">
        <v>0</v>
      </c>
      <c r="L386" s="6" t="n">
        <v>320.3</v>
      </c>
      <c r="N386" s="18" t="n">
        <v>0</v>
      </c>
      <c r="O386" s="18" t="n">
        <v>0</v>
      </c>
      <c r="P386" s="18" t="n">
        <v>0</v>
      </c>
      <c r="Q386" s="18" t="n">
        <v>0.006739</v>
      </c>
    </row>
    <row r="387">
      <c r="A387" s="30" t="n">
        <v>4317756</v>
      </c>
      <c r="B387" s="5" t="inlineStr">
        <is>
          <t>Santo Antônio do Planalto</t>
        </is>
      </c>
      <c r="C387" s="19">
        <f>N387</f>
        <v/>
      </c>
      <c r="D387" s="19">
        <f>O387</f>
        <v/>
      </c>
      <c r="E387" s="19">
        <f>P387</f>
        <v/>
      </c>
      <c r="F387" s="19">
        <f>Q387</f>
        <v/>
      </c>
      <c r="G387" s="19">
        <f>C387+D387+E387+F387</f>
        <v/>
      </c>
      <c r="H387" s="6" t="n">
        <v>0</v>
      </c>
      <c r="I387" s="31" t="n">
        <v>0</v>
      </c>
      <c r="J387" s="6" t="n">
        <v>0</v>
      </c>
      <c r="K387" s="12" t="n">
        <v>0</v>
      </c>
      <c r="L387" s="6" t="n">
        <v>144.5</v>
      </c>
      <c r="N387" s="18" t="n">
        <v>0</v>
      </c>
      <c r="O387" s="18" t="n">
        <v>0.166599</v>
      </c>
      <c r="P387" s="18" t="n">
        <v>0.146543</v>
      </c>
      <c r="Q387" s="18" t="n">
        <v>0.204593</v>
      </c>
    </row>
    <row r="388">
      <c r="A388" s="30" t="n">
        <v>4317806</v>
      </c>
      <c r="B388" s="5" t="inlineStr">
        <is>
          <t>Santo Augusto</t>
        </is>
      </c>
      <c r="C388" s="19">
        <f>N388</f>
        <v/>
      </c>
      <c r="D388" s="19">
        <f>O388</f>
        <v/>
      </c>
      <c r="E388" s="19">
        <f>P388</f>
        <v/>
      </c>
      <c r="F388" s="19">
        <f>Q388</f>
        <v/>
      </c>
      <c r="G388" s="19">
        <f>C388+D388+E388+F388</f>
        <v/>
      </c>
      <c r="H388" s="6" t="n">
        <v>0</v>
      </c>
      <c r="I388" s="31" t="n">
        <v>0</v>
      </c>
      <c r="J388" s="6" t="n">
        <v>0</v>
      </c>
      <c r="K388" s="12" t="n">
        <v>0</v>
      </c>
      <c r="L388" s="6" t="n">
        <v>233.8</v>
      </c>
      <c r="N388" s="18" t="n">
        <v>0</v>
      </c>
      <c r="O388" s="18" t="n">
        <v>0.118349</v>
      </c>
      <c r="P388" s="18" t="n">
        <v>0.204292</v>
      </c>
      <c r="Q388" s="18" t="n">
        <v>0.09395199999999999</v>
      </c>
    </row>
    <row r="389">
      <c r="A389" s="30" t="n">
        <v>4317905</v>
      </c>
      <c r="B389" s="5" t="inlineStr">
        <is>
          <t>Santo Cristo</t>
        </is>
      </c>
      <c r="C389" s="19">
        <f>N389</f>
        <v/>
      </c>
      <c r="D389" s="19">
        <f>O389</f>
        <v/>
      </c>
      <c r="E389" s="19">
        <f>P389</f>
        <v/>
      </c>
      <c r="F389" s="19">
        <f>Q389</f>
        <v/>
      </c>
      <c r="G389" s="19">
        <f>C389+D389+E389+F389</f>
        <v/>
      </c>
      <c r="H389" s="6" t="n">
        <v>0</v>
      </c>
      <c r="I389" s="31" t="n">
        <v>0</v>
      </c>
      <c r="J389" s="6" t="n">
        <v>0</v>
      </c>
      <c r="K389" s="12" t="n">
        <v>0</v>
      </c>
      <c r="L389" s="6" t="n">
        <v>304.3</v>
      </c>
      <c r="N389" s="18" t="n">
        <v>0</v>
      </c>
      <c r="O389" s="18" t="n">
        <v>0</v>
      </c>
      <c r="P389" s="18" t="n">
        <v>0</v>
      </c>
      <c r="Q389" s="18" t="n">
        <v>0.024717</v>
      </c>
    </row>
    <row r="390">
      <c r="A390" s="30" t="n">
        <v>4317954</v>
      </c>
      <c r="B390" s="5" t="inlineStr">
        <is>
          <t>Santo Expedito do Sul</t>
        </is>
      </c>
      <c r="C390" s="19">
        <f>N390</f>
        <v/>
      </c>
      <c r="D390" s="19">
        <f>O390</f>
        <v/>
      </c>
      <c r="E390" s="19">
        <f>P390</f>
        <v/>
      </c>
      <c r="F390" s="19">
        <f>Q390</f>
        <v/>
      </c>
      <c r="G390" s="19">
        <f>C390+D390+E390+F390</f>
        <v/>
      </c>
      <c r="H390" s="6" t="n">
        <v>0</v>
      </c>
      <c r="I390" s="31" t="n">
        <v>0</v>
      </c>
      <c r="J390" s="6" t="n">
        <v>0</v>
      </c>
      <c r="K390" s="12" t="n">
        <v>0</v>
      </c>
      <c r="L390" s="6" t="n">
        <v>204.4</v>
      </c>
      <c r="N390" s="18" t="n">
        <v>0</v>
      </c>
      <c r="O390" s="18" t="n">
        <v>0.054174</v>
      </c>
      <c r="P390" s="18" t="n">
        <v>0.059981</v>
      </c>
      <c r="Q390" s="18" t="n">
        <v>0.124532</v>
      </c>
    </row>
    <row r="391">
      <c r="A391" s="30" t="n">
        <v>4318002</v>
      </c>
      <c r="B391" s="5" t="inlineStr">
        <is>
          <t>São Borja</t>
        </is>
      </c>
      <c r="C391" s="19">
        <f>N391</f>
        <v/>
      </c>
      <c r="D391" s="19">
        <f>O391</f>
        <v/>
      </c>
      <c r="E391" s="19">
        <f>P391</f>
        <v/>
      </c>
      <c r="F391" s="19">
        <f>Q391</f>
        <v/>
      </c>
      <c r="G391" s="19">
        <f>C391+D391+E391+F391</f>
        <v/>
      </c>
      <c r="H391" s="6" t="n">
        <v>0</v>
      </c>
      <c r="I391" s="31" t="n">
        <v>0</v>
      </c>
      <c r="J391" s="6" t="n">
        <v>0</v>
      </c>
      <c r="K391" s="12" t="n">
        <v>0</v>
      </c>
      <c r="L391" s="6" t="n">
        <v>344.2</v>
      </c>
      <c r="N391" s="18" t="n">
        <v>0</v>
      </c>
      <c r="O391" s="18" t="n">
        <v>0</v>
      </c>
      <c r="P391" s="18" t="n">
        <v>0</v>
      </c>
      <c r="Q391" s="18" t="n">
        <v>0.0072</v>
      </c>
    </row>
    <row r="392">
      <c r="A392" s="30" t="n">
        <v>4318051</v>
      </c>
      <c r="B392" s="5" t="inlineStr">
        <is>
          <t>São Domingos do Sul</t>
        </is>
      </c>
      <c r="C392" s="19">
        <f>N392</f>
        <v/>
      </c>
      <c r="D392" s="19">
        <f>O392</f>
        <v/>
      </c>
      <c r="E392" s="19">
        <f>P392</f>
        <v/>
      </c>
      <c r="F392" s="19">
        <f>Q392</f>
        <v/>
      </c>
      <c r="G392" s="19">
        <f>C392+D392+E392+F392</f>
        <v/>
      </c>
      <c r="H392" s="6" t="n">
        <v>0</v>
      </c>
      <c r="I392" s="31" t="n">
        <v>0</v>
      </c>
      <c r="J392" s="6" t="n">
        <v>42</v>
      </c>
      <c r="K392" s="12" t="n">
        <v>0.361</v>
      </c>
      <c r="L392" s="6" t="n">
        <v>133.6</v>
      </c>
      <c r="N392" s="18" t="n">
        <v>0.007029</v>
      </c>
      <c r="O392" s="18" t="n">
        <v>0.384486</v>
      </c>
      <c r="P392" s="18" t="n">
        <v>0.201305</v>
      </c>
      <c r="Q392" s="18" t="n">
        <v>0.423934</v>
      </c>
    </row>
    <row r="393">
      <c r="A393" s="30" t="n">
        <v>4318101</v>
      </c>
      <c r="B393" s="5" t="inlineStr">
        <is>
          <t>São Francisco de Assis</t>
        </is>
      </c>
      <c r="C393" s="19">
        <f>N393</f>
        <v/>
      </c>
      <c r="D393" s="19">
        <f>O393</f>
        <v/>
      </c>
      <c r="E393" s="19">
        <f>P393</f>
        <v/>
      </c>
      <c r="F393" s="19">
        <f>Q393</f>
        <v/>
      </c>
      <c r="G393" s="19">
        <f>C393+D393+E393+F393</f>
        <v/>
      </c>
      <c r="H393" s="6" t="n">
        <v>0</v>
      </c>
      <c r="I393" s="31" t="n">
        <v>0</v>
      </c>
      <c r="J393" s="6" t="n">
        <v>1386</v>
      </c>
      <c r="K393" s="12" t="n">
        <v>11.92</v>
      </c>
      <c r="L393" s="6" t="n">
        <v>264.7</v>
      </c>
      <c r="N393" s="18" t="n">
        <v>0.231958</v>
      </c>
      <c r="O393" s="18" t="n">
        <v>0</v>
      </c>
      <c r="P393" s="18" t="n">
        <v>0</v>
      </c>
      <c r="Q393" s="18" t="n">
        <v>0.02536</v>
      </c>
    </row>
    <row r="394">
      <c r="A394" s="30" t="n">
        <v>4318200</v>
      </c>
      <c r="B394" s="5" t="inlineStr">
        <is>
          <t>São Francisco de Paula</t>
        </is>
      </c>
      <c r="C394" s="19">
        <f>N394</f>
        <v/>
      </c>
      <c r="D394" s="19">
        <f>O394</f>
        <v/>
      </c>
      <c r="E394" s="19">
        <f>P394</f>
        <v/>
      </c>
      <c r="F394" s="19">
        <f>Q394</f>
        <v/>
      </c>
      <c r="G394" s="19">
        <f>C394+D394+E394+F394</f>
        <v/>
      </c>
      <c r="H394" s="6" t="n">
        <v>0</v>
      </c>
      <c r="I394" s="31" t="n">
        <v>0</v>
      </c>
      <c r="J394" s="6" t="n">
        <v>0</v>
      </c>
      <c r="K394" s="12" t="n">
        <v>0</v>
      </c>
      <c r="L394" s="6" t="n">
        <v>186.1</v>
      </c>
      <c r="N394" s="18" t="n">
        <v>0</v>
      </c>
      <c r="O394" s="18" t="n">
        <v>0.481936</v>
      </c>
      <c r="P394" s="18" t="n">
        <v>0.312738</v>
      </c>
      <c r="Q394" s="18" t="n">
        <v>1.2287</v>
      </c>
    </row>
    <row r="395">
      <c r="A395" s="30" t="n">
        <v>4318309</v>
      </c>
      <c r="B395" s="5" t="inlineStr">
        <is>
          <t>São Gabriel</t>
        </is>
      </c>
      <c r="C395" s="19">
        <f>N395</f>
        <v/>
      </c>
      <c r="D395" s="19">
        <f>O395</f>
        <v/>
      </c>
      <c r="E395" s="19">
        <f>P395</f>
        <v/>
      </c>
      <c r="F395" s="19">
        <f>Q395</f>
        <v/>
      </c>
      <c r="G395" s="19">
        <f>C395+D395+E395+F395</f>
        <v/>
      </c>
      <c r="H395" s="6" t="n">
        <v>0</v>
      </c>
      <c r="I395" s="31" t="n">
        <v>0</v>
      </c>
      <c r="J395" s="6" t="n">
        <v>0</v>
      </c>
      <c r="K395" s="12" t="n">
        <v>0</v>
      </c>
      <c r="L395" s="6" t="n">
        <v>202.5</v>
      </c>
      <c r="N395" s="18" t="n">
        <v>0</v>
      </c>
      <c r="O395" s="18" t="n">
        <v>0.341515</v>
      </c>
      <c r="P395" s="18" t="n">
        <v>0.429249</v>
      </c>
      <c r="Q395" s="18" t="n">
        <v>0.09927800000000001</v>
      </c>
    </row>
    <row r="396">
      <c r="A396" s="30" t="n">
        <v>4318408</v>
      </c>
      <c r="B396" s="5" t="inlineStr">
        <is>
          <t>São Jerônimo</t>
        </is>
      </c>
      <c r="C396" s="19">
        <f>N396</f>
        <v/>
      </c>
      <c r="D396" s="19">
        <f>O396</f>
        <v/>
      </c>
      <c r="E396" s="19">
        <f>P396</f>
        <v/>
      </c>
      <c r="F396" s="19">
        <f>Q396</f>
        <v/>
      </c>
      <c r="G396" s="19">
        <f>C396+D396+E396+F396</f>
        <v/>
      </c>
      <c r="H396" s="6" t="n">
        <v>0</v>
      </c>
      <c r="I396" s="31" t="n">
        <v>0</v>
      </c>
      <c r="J396" s="6" t="n">
        <v>1287</v>
      </c>
      <c r="K396" s="12" t="n">
        <v>11.068</v>
      </c>
      <c r="L396" s="6" t="n">
        <v>86</v>
      </c>
      <c r="N396" s="18" t="n">
        <v>0.215389</v>
      </c>
      <c r="O396" s="18" t="n">
        <v>0.888756</v>
      </c>
      <c r="P396" s="18" t="n">
        <v>0.872403</v>
      </c>
      <c r="Q396" s="18" t="n">
        <v>1.757021</v>
      </c>
    </row>
    <row r="397">
      <c r="A397" s="30" t="n">
        <v>4318424</v>
      </c>
      <c r="B397" s="5" t="inlineStr">
        <is>
          <t>São João da Urtiga</t>
        </is>
      </c>
      <c r="C397" s="19">
        <f>N397</f>
        <v/>
      </c>
      <c r="D397" s="19">
        <f>O397</f>
        <v/>
      </c>
      <c r="E397" s="19">
        <f>P397</f>
        <v/>
      </c>
      <c r="F397" s="19">
        <f>Q397</f>
        <v/>
      </c>
      <c r="G397" s="19">
        <f>C397+D397+E397+F397</f>
        <v/>
      </c>
      <c r="H397" s="6" t="n">
        <v>0</v>
      </c>
      <c r="I397" s="31" t="n">
        <v>0</v>
      </c>
      <c r="J397" s="6" t="n">
        <v>166</v>
      </c>
      <c r="K397" s="12" t="n">
        <v>1.428</v>
      </c>
      <c r="L397" s="6" t="n">
        <v>212.4</v>
      </c>
      <c r="N397" s="18" t="n">
        <v>0.027781</v>
      </c>
      <c r="O397" s="18" t="n">
        <v>0.06671299999999999</v>
      </c>
      <c r="P397" s="18" t="n">
        <v>0.136618</v>
      </c>
      <c r="Q397" s="18" t="n">
        <v>0.139757</v>
      </c>
    </row>
    <row r="398">
      <c r="A398" s="30" t="n">
        <v>4318432</v>
      </c>
      <c r="B398" s="5" t="inlineStr">
        <is>
          <t>São João do Polêsine</t>
        </is>
      </c>
      <c r="C398" s="19">
        <f>N398</f>
        <v/>
      </c>
      <c r="D398" s="19">
        <f>O398</f>
        <v/>
      </c>
      <c r="E398" s="19">
        <f>P398</f>
        <v/>
      </c>
      <c r="F398" s="19">
        <f>Q398</f>
        <v/>
      </c>
      <c r="G398" s="19">
        <f>C398+D398+E398+F398</f>
        <v/>
      </c>
      <c r="H398" s="6" t="n">
        <v>0</v>
      </c>
      <c r="I398" s="31" t="n">
        <v>0</v>
      </c>
      <c r="J398" s="6" t="n">
        <v>8</v>
      </c>
      <c r="K398" s="12" t="n">
        <v>0.06900000000000001</v>
      </c>
      <c r="L398" s="6" t="n">
        <v>102.9</v>
      </c>
      <c r="N398" s="18" t="n">
        <v>0.001339</v>
      </c>
      <c r="O398" s="18" t="n">
        <v>0.290537</v>
      </c>
      <c r="P398" s="18" t="n">
        <v>0.235397</v>
      </c>
      <c r="Q398" s="18" t="n">
        <v>0.220336</v>
      </c>
    </row>
    <row r="399">
      <c r="A399" s="30" t="n">
        <v>4318440</v>
      </c>
      <c r="B399" s="5" t="inlineStr">
        <is>
          <t>São Jorge</t>
        </is>
      </c>
      <c r="C399" s="19">
        <f>N399</f>
        <v/>
      </c>
      <c r="D399" s="19">
        <f>O399</f>
        <v/>
      </c>
      <c r="E399" s="19">
        <f>P399</f>
        <v/>
      </c>
      <c r="F399" s="19">
        <f>Q399</f>
        <v/>
      </c>
      <c r="G399" s="19">
        <f>C399+D399+E399+F399</f>
        <v/>
      </c>
      <c r="H399" s="6" t="n">
        <v>0</v>
      </c>
      <c r="I399" s="31" t="n">
        <v>0</v>
      </c>
      <c r="J399" s="6" t="n">
        <v>58</v>
      </c>
      <c r="K399" s="12" t="n">
        <v>0.499</v>
      </c>
      <c r="L399" s="6" t="n">
        <v>144</v>
      </c>
      <c r="N399" s="18" t="n">
        <v>0.009707</v>
      </c>
      <c r="O399" s="18" t="n">
        <v>0.223832</v>
      </c>
      <c r="P399" s="18" t="n">
        <v>0.139375</v>
      </c>
      <c r="Q399" s="18" t="n">
        <v>0.418969</v>
      </c>
    </row>
    <row r="400">
      <c r="A400" s="30" t="n">
        <v>4318457</v>
      </c>
      <c r="B400" s="5" t="inlineStr">
        <is>
          <t>São José das Missões</t>
        </is>
      </c>
      <c r="C400" s="19">
        <f>N400</f>
        <v/>
      </c>
      <c r="D400" s="19">
        <f>O400</f>
        <v/>
      </c>
      <c r="E400" s="19">
        <f>P400</f>
        <v/>
      </c>
      <c r="F400" s="19">
        <f>Q400</f>
        <v/>
      </c>
      <c r="G400" s="19">
        <f>C400+D400+E400+F400</f>
        <v/>
      </c>
      <c r="H400" s="6" t="n">
        <v>0</v>
      </c>
      <c r="I400" s="31" t="n">
        <v>0</v>
      </c>
      <c r="J400" s="6" t="n">
        <v>0</v>
      </c>
      <c r="K400" s="12" t="n">
        <v>0</v>
      </c>
      <c r="L400" s="6" t="n">
        <v>217.1</v>
      </c>
      <c r="N400" s="18" t="n">
        <v>0</v>
      </c>
      <c r="O400" s="18" t="n">
        <v>0.032752</v>
      </c>
      <c r="P400" s="18" t="n">
        <v>0.042333</v>
      </c>
      <c r="Q400" s="18" t="n">
        <v>0.056698</v>
      </c>
    </row>
    <row r="401">
      <c r="A401" s="30" t="n">
        <v>4318465</v>
      </c>
      <c r="B401" s="5" t="inlineStr">
        <is>
          <t>São José do Herval</t>
        </is>
      </c>
      <c r="C401" s="19">
        <f>N401</f>
        <v/>
      </c>
      <c r="D401" s="19">
        <f>O401</f>
        <v/>
      </c>
      <c r="E401" s="19">
        <f>P401</f>
        <v/>
      </c>
      <c r="F401" s="19">
        <f>Q401</f>
        <v/>
      </c>
      <c r="G401" s="19">
        <f>C401+D401+E401+F401</f>
        <v/>
      </c>
      <c r="H401" s="6" t="n">
        <v>0</v>
      </c>
      <c r="I401" s="31" t="n">
        <v>0</v>
      </c>
      <c r="J401" s="6" t="n">
        <v>81</v>
      </c>
      <c r="K401" s="12" t="n">
        <v>0.697</v>
      </c>
      <c r="L401" s="6" t="n">
        <v>65.7</v>
      </c>
      <c r="N401" s="18" t="n">
        <v>0.013556</v>
      </c>
      <c r="O401" s="18" t="n">
        <v>0.147541</v>
      </c>
      <c r="P401" s="18" t="n">
        <v>0.218686</v>
      </c>
      <c r="Q401" s="18" t="n">
        <v>0.529197</v>
      </c>
    </row>
    <row r="402">
      <c r="A402" s="30" t="n">
        <v>4318481</v>
      </c>
      <c r="B402" s="5" t="inlineStr">
        <is>
          <t>São José do Hortêncio</t>
        </is>
      </c>
      <c r="C402" s="19">
        <f>N402</f>
        <v/>
      </c>
      <c r="D402" s="19">
        <f>O402</f>
        <v/>
      </c>
      <c r="E402" s="19">
        <f>P402</f>
        <v/>
      </c>
      <c r="F402" s="19">
        <f>Q402</f>
        <v/>
      </c>
      <c r="G402" s="19">
        <f>C402+D402+E402+F402</f>
        <v/>
      </c>
      <c r="H402" s="6" t="n">
        <v>0</v>
      </c>
      <c r="I402" s="31" t="n">
        <v>0</v>
      </c>
      <c r="J402" s="6" t="n">
        <v>0</v>
      </c>
      <c r="K402" s="12" t="n">
        <v>0</v>
      </c>
      <c r="L402" s="6" t="n">
        <v>112</v>
      </c>
      <c r="N402" s="18" t="n">
        <v>0</v>
      </c>
      <c r="O402" s="18" t="n">
        <v>0.384815</v>
      </c>
      <c r="P402" s="18" t="n">
        <v>0.267198</v>
      </c>
      <c r="Q402" s="18" t="n">
        <v>1.127059</v>
      </c>
    </row>
    <row r="403">
      <c r="A403" s="30" t="n">
        <v>4318499</v>
      </c>
      <c r="B403" s="5" t="inlineStr">
        <is>
          <t>São José do Inhacorá</t>
        </is>
      </c>
      <c r="C403" s="19">
        <f>N403</f>
        <v/>
      </c>
      <c r="D403" s="19">
        <f>O403</f>
        <v/>
      </c>
      <c r="E403" s="19">
        <f>P403</f>
        <v/>
      </c>
      <c r="F403" s="19">
        <f>Q403</f>
        <v/>
      </c>
      <c r="G403" s="19">
        <f>C403+D403+E403+F403</f>
        <v/>
      </c>
      <c r="H403" s="6" t="n">
        <v>0</v>
      </c>
      <c r="I403" s="31" t="n">
        <v>0</v>
      </c>
      <c r="J403" s="6" t="n">
        <v>0</v>
      </c>
      <c r="K403" s="12" t="n">
        <v>0</v>
      </c>
      <c r="L403" s="6" t="n">
        <v>269.9</v>
      </c>
      <c r="N403" s="18" t="n">
        <v>0</v>
      </c>
      <c r="O403" s="18" t="n">
        <v>0</v>
      </c>
      <c r="P403" s="18" t="n">
        <v>0</v>
      </c>
      <c r="Q403" s="18" t="n">
        <v>0.021619</v>
      </c>
    </row>
    <row r="404">
      <c r="A404" s="30" t="n">
        <v>4318507</v>
      </c>
      <c r="B404" s="5" t="inlineStr">
        <is>
          <t>São José do Norte</t>
        </is>
      </c>
      <c r="C404" s="19">
        <f>N404</f>
        <v/>
      </c>
      <c r="D404" s="19">
        <f>O404</f>
        <v/>
      </c>
      <c r="E404" s="19">
        <f>P404</f>
        <v/>
      </c>
      <c r="F404" s="19">
        <f>Q404</f>
        <v/>
      </c>
      <c r="G404" s="19">
        <f>C404+D404+E404+F404</f>
        <v/>
      </c>
      <c r="H404" s="6" t="n">
        <v>0</v>
      </c>
      <c r="I404" s="31" t="n">
        <v>0</v>
      </c>
      <c r="J404" s="6" t="n">
        <v>4</v>
      </c>
      <c r="K404" s="12" t="n">
        <v>0.034</v>
      </c>
      <c r="L404" s="6" t="n">
        <v>245.5</v>
      </c>
      <c r="N404" s="18" t="n">
        <v>0.000669</v>
      </c>
      <c r="O404" s="18" t="n">
        <v>0.148228</v>
      </c>
      <c r="P404" s="18" t="n">
        <v>0.15255</v>
      </c>
      <c r="Q404" s="18" t="n">
        <v>0.065939</v>
      </c>
    </row>
    <row r="405">
      <c r="A405" s="30" t="n">
        <v>4318606</v>
      </c>
      <c r="B405" s="5" t="inlineStr">
        <is>
          <t>São José do Ouro</t>
        </is>
      </c>
      <c r="C405" s="19">
        <f>N405</f>
        <v/>
      </c>
      <c r="D405" s="19">
        <f>O405</f>
        <v/>
      </c>
      <c r="E405" s="19">
        <f>P405</f>
        <v/>
      </c>
      <c r="F405" s="19">
        <f>Q405</f>
        <v/>
      </c>
      <c r="G405" s="19">
        <f>C405+D405+E405+F405</f>
        <v/>
      </c>
      <c r="H405" s="6" t="n">
        <v>0</v>
      </c>
      <c r="I405" s="31" t="n">
        <v>0</v>
      </c>
      <c r="J405" s="6" t="n">
        <v>0</v>
      </c>
      <c r="K405" s="12" t="n">
        <v>0</v>
      </c>
      <c r="L405" s="6" t="n">
        <v>223.6</v>
      </c>
      <c r="N405" s="18" t="n">
        <v>0</v>
      </c>
      <c r="O405" s="18" t="n">
        <v>0.087157</v>
      </c>
      <c r="P405" s="18" t="n">
        <v>0.149004</v>
      </c>
      <c r="Q405" s="18" t="n">
        <v>0.151147</v>
      </c>
    </row>
    <row r="406">
      <c r="A406" s="30" t="n">
        <v>4318614</v>
      </c>
      <c r="B406" s="5" t="inlineStr">
        <is>
          <t>São José do Sul</t>
        </is>
      </c>
      <c r="C406" s="19">
        <f>N406</f>
        <v/>
      </c>
      <c r="D406" s="19">
        <f>O406</f>
        <v/>
      </c>
      <c r="E406" s="19">
        <f>P406</f>
        <v/>
      </c>
      <c r="F406" s="19">
        <f>Q406</f>
        <v/>
      </c>
      <c r="G406" s="19">
        <f>C406+D406+E406+F406</f>
        <v/>
      </c>
      <c r="H406" s="6" t="n">
        <v>0</v>
      </c>
      <c r="I406" s="31" t="n">
        <v>0</v>
      </c>
      <c r="J406" s="6" t="n">
        <v>0</v>
      </c>
      <c r="K406" s="12" t="n">
        <v>0</v>
      </c>
      <c r="L406" s="6" t="n">
        <v>89.8</v>
      </c>
      <c r="N406" s="18" t="n">
        <v>0</v>
      </c>
      <c r="O406" s="18" t="n">
        <v>0.270315</v>
      </c>
      <c r="P406" s="18" t="n">
        <v>0.191025</v>
      </c>
      <c r="Q406" s="18" t="n">
        <v>0.848767</v>
      </c>
    </row>
    <row r="407">
      <c r="A407" s="30" t="n">
        <v>4318622</v>
      </c>
      <c r="B407" s="5" t="inlineStr">
        <is>
          <t>São José dos Ausentes</t>
        </is>
      </c>
      <c r="C407" s="19">
        <f>N407</f>
        <v/>
      </c>
      <c r="D407" s="19">
        <f>O407</f>
        <v/>
      </c>
      <c r="E407" s="19">
        <f>P407</f>
        <v/>
      </c>
      <c r="F407" s="19">
        <f>Q407</f>
        <v/>
      </c>
      <c r="G407" s="19">
        <f>C407+D407+E407+F407</f>
        <v/>
      </c>
      <c r="H407" s="6" t="n">
        <v>0</v>
      </c>
      <c r="I407" s="31" t="n">
        <v>0</v>
      </c>
      <c r="J407" s="6" t="n">
        <v>0</v>
      </c>
      <c r="K407" s="12" t="n">
        <v>0</v>
      </c>
      <c r="L407" s="6" t="n">
        <v>262.3</v>
      </c>
      <c r="N407" s="18" t="n">
        <v>0</v>
      </c>
      <c r="O407" s="18" t="n">
        <v>0</v>
      </c>
      <c r="P407" s="18" t="n">
        <v>0</v>
      </c>
      <c r="Q407" s="18" t="n">
        <v>0.138504</v>
      </c>
    </row>
    <row r="408">
      <c r="A408" s="30" t="n">
        <v>4318705</v>
      </c>
      <c r="B408" s="5" t="inlineStr">
        <is>
          <t>São Leopoldo</t>
        </is>
      </c>
      <c r="C408" s="19">
        <f>N408</f>
        <v/>
      </c>
      <c r="D408" s="19">
        <f>O408</f>
        <v/>
      </c>
      <c r="E408" s="19">
        <f>P408</f>
        <v/>
      </c>
      <c r="F408" s="19">
        <f>Q408</f>
        <v/>
      </c>
      <c r="G408" s="19">
        <f>C408+D408+E408+F408</f>
        <v/>
      </c>
      <c r="H408" s="6" t="n">
        <v>0</v>
      </c>
      <c r="I408" s="31" t="n">
        <v>0</v>
      </c>
      <c r="J408" s="6" t="n">
        <v>0</v>
      </c>
      <c r="K408" s="12" t="n">
        <v>0</v>
      </c>
      <c r="L408" s="6" t="n">
        <v>122.7</v>
      </c>
      <c r="N408" s="18" t="n">
        <v>0</v>
      </c>
      <c r="O408" s="18" t="n">
        <v>45.310959</v>
      </c>
      <c r="P408" s="18" t="n">
        <v>2.546078</v>
      </c>
      <c r="Q408" s="18" t="n">
        <v>8.179525999999999</v>
      </c>
    </row>
    <row r="409">
      <c r="A409" s="30" t="n">
        <v>4318804</v>
      </c>
      <c r="B409" s="5" t="inlineStr">
        <is>
          <t>São Lourenço do Sul</t>
        </is>
      </c>
      <c r="C409" s="19">
        <f>N409</f>
        <v/>
      </c>
      <c r="D409" s="19">
        <f>O409</f>
        <v/>
      </c>
      <c r="E409" s="19">
        <f>P409</f>
        <v/>
      </c>
      <c r="F409" s="19">
        <f>Q409</f>
        <v/>
      </c>
      <c r="G409" s="19">
        <f>C409+D409+E409+F409</f>
        <v/>
      </c>
      <c r="H409" s="6" t="n">
        <v>0</v>
      </c>
      <c r="I409" s="31" t="n">
        <v>0</v>
      </c>
      <c r="J409" s="6" t="n">
        <v>21600</v>
      </c>
      <c r="K409" s="12" t="n">
        <v>185.76</v>
      </c>
      <c r="L409" s="6" t="n">
        <v>178.4</v>
      </c>
      <c r="N409" s="18" t="n">
        <v>3.614924</v>
      </c>
      <c r="O409" s="18" t="n">
        <v>0.275084</v>
      </c>
      <c r="P409" s="18" t="n">
        <v>0.457022</v>
      </c>
      <c r="Q409" s="18" t="n">
        <v>0.49682</v>
      </c>
    </row>
    <row r="410">
      <c r="A410" s="30" t="n">
        <v>4318903</v>
      </c>
      <c r="B410" s="5" t="inlineStr">
        <is>
          <t>São Luiz Gonzaga</t>
        </is>
      </c>
      <c r="C410" s="19">
        <f>N410</f>
        <v/>
      </c>
      <c r="D410" s="19">
        <f>O410</f>
        <v/>
      </c>
      <c r="E410" s="19">
        <f>P410</f>
        <v/>
      </c>
      <c r="F410" s="19">
        <f>Q410</f>
        <v/>
      </c>
      <c r="G410" s="19">
        <f>C410+D410+E410+F410</f>
        <v/>
      </c>
      <c r="H410" s="6" t="n">
        <v>0</v>
      </c>
      <c r="I410" s="31" t="n">
        <v>0</v>
      </c>
      <c r="J410" s="6" t="n">
        <v>0</v>
      </c>
      <c r="K410" s="12" t="n">
        <v>0</v>
      </c>
      <c r="L410" s="6" t="n">
        <v>277.5</v>
      </c>
      <c r="N410" s="18" t="n">
        <v>0</v>
      </c>
      <c r="O410" s="18" t="n">
        <v>0</v>
      </c>
      <c r="P410" s="18" t="n">
        <v>0</v>
      </c>
      <c r="Q410" s="18" t="n">
        <v>0.038669</v>
      </c>
    </row>
    <row r="411">
      <c r="A411" s="30" t="n">
        <v>4319000</v>
      </c>
      <c r="B411" s="5" t="inlineStr">
        <is>
          <t>São Marcos</t>
        </is>
      </c>
      <c r="C411" s="19">
        <f>N411</f>
        <v/>
      </c>
      <c r="D411" s="19">
        <f>O411</f>
        <v/>
      </c>
      <c r="E411" s="19">
        <f>P411</f>
        <v/>
      </c>
      <c r="F411" s="19">
        <f>Q411</f>
        <v/>
      </c>
      <c r="G411" s="19">
        <f>C411+D411+E411+F411</f>
        <v/>
      </c>
      <c r="H411" s="6" t="n">
        <v>0</v>
      </c>
      <c r="I411" s="31" t="n">
        <v>0</v>
      </c>
      <c r="J411" s="6" t="n">
        <v>0</v>
      </c>
      <c r="K411" s="12" t="n">
        <v>0</v>
      </c>
      <c r="L411" s="6" t="n">
        <v>150.7</v>
      </c>
      <c r="N411" s="18" t="n">
        <v>0</v>
      </c>
      <c r="O411" s="18" t="n">
        <v>6.409494</v>
      </c>
      <c r="P411" s="18" t="n">
        <v>0.570948</v>
      </c>
      <c r="Q411" s="18" t="n">
        <v>1.633602</v>
      </c>
    </row>
    <row r="412">
      <c r="A412" s="30" t="n">
        <v>4319109</v>
      </c>
      <c r="B412" s="5" t="inlineStr">
        <is>
          <t>São Martinho</t>
        </is>
      </c>
      <c r="C412" s="19">
        <f>N412</f>
        <v/>
      </c>
      <c r="D412" s="19">
        <f>O412</f>
        <v/>
      </c>
      <c r="E412" s="19">
        <f>P412</f>
        <v/>
      </c>
      <c r="F412" s="19">
        <f>Q412</f>
        <v/>
      </c>
      <c r="G412" s="19">
        <f>C412+D412+E412+F412</f>
        <v/>
      </c>
      <c r="H412" s="6" t="n">
        <v>0</v>
      </c>
      <c r="I412" s="31" t="n">
        <v>0</v>
      </c>
      <c r="J412" s="6" t="n">
        <v>0</v>
      </c>
      <c r="K412" s="12" t="n">
        <v>0</v>
      </c>
      <c r="L412" s="6" t="n">
        <v>260.7</v>
      </c>
      <c r="N412" s="18" t="n">
        <v>0</v>
      </c>
      <c r="O412" s="18" t="n">
        <v>0</v>
      </c>
      <c r="P412" s="18" t="n">
        <v>0</v>
      </c>
      <c r="Q412" s="18" t="n">
        <v>0.039581</v>
      </c>
    </row>
    <row r="413">
      <c r="A413" s="30" t="n">
        <v>4319125</v>
      </c>
      <c r="B413" s="5" t="inlineStr">
        <is>
          <t>São Martinho da Serra</t>
        </is>
      </c>
      <c r="C413" s="19">
        <f>N413</f>
        <v/>
      </c>
      <c r="D413" s="19">
        <f>O413</f>
        <v/>
      </c>
      <c r="E413" s="19">
        <f>P413</f>
        <v/>
      </c>
      <c r="F413" s="19">
        <f>Q413</f>
        <v/>
      </c>
      <c r="G413" s="19">
        <f>C413+D413+E413+F413</f>
        <v/>
      </c>
      <c r="H413" s="6" t="n">
        <v>0</v>
      </c>
      <c r="I413" s="31" t="n">
        <v>0</v>
      </c>
      <c r="J413" s="6" t="n">
        <v>6</v>
      </c>
      <c r="K413" s="12" t="n">
        <v>0.052</v>
      </c>
      <c r="L413" s="6" t="n">
        <v>144.5</v>
      </c>
      <c r="N413" s="18" t="n">
        <v>0.001004</v>
      </c>
      <c r="O413" s="18" t="n">
        <v>0.0006089999999999999</v>
      </c>
      <c r="P413" s="18" t="n">
        <v>0.077252</v>
      </c>
      <c r="Q413" s="18" t="n">
        <v>0.123184</v>
      </c>
    </row>
    <row r="414">
      <c r="A414" s="30" t="n">
        <v>4319158</v>
      </c>
      <c r="B414" s="5" t="inlineStr">
        <is>
          <t>São Miguel das Missões</t>
        </is>
      </c>
      <c r="C414" s="19">
        <f>N414</f>
        <v/>
      </c>
      <c r="D414" s="19">
        <f>O414</f>
        <v/>
      </c>
      <c r="E414" s="19">
        <f>P414</f>
        <v/>
      </c>
      <c r="F414" s="19">
        <f>Q414</f>
        <v/>
      </c>
      <c r="G414" s="19">
        <f>C414+D414+E414+F414</f>
        <v/>
      </c>
      <c r="H414" s="6" t="n">
        <v>0</v>
      </c>
      <c r="I414" s="31" t="n">
        <v>0</v>
      </c>
      <c r="J414" s="6" t="n">
        <v>0</v>
      </c>
      <c r="K414" s="12" t="n">
        <v>0</v>
      </c>
      <c r="L414" s="6" t="n">
        <v>232.2</v>
      </c>
      <c r="N414" s="18" t="n">
        <v>0</v>
      </c>
      <c r="O414" s="18" t="n">
        <v>0.034395</v>
      </c>
      <c r="P414" s="18" t="n">
        <v>0.103488</v>
      </c>
      <c r="Q414" s="18" t="n">
        <v>0.039143</v>
      </c>
    </row>
    <row r="415">
      <c r="A415" s="30" t="n">
        <v>4319208</v>
      </c>
      <c r="B415" s="5" t="inlineStr">
        <is>
          <t>São Nicolau</t>
        </is>
      </c>
      <c r="C415" s="19">
        <f>N415</f>
        <v/>
      </c>
      <c r="D415" s="19">
        <f>O415</f>
        <v/>
      </c>
      <c r="E415" s="19">
        <f>P415</f>
        <v/>
      </c>
      <c r="F415" s="19">
        <f>Q415</f>
        <v/>
      </c>
      <c r="G415" s="19">
        <f>C415+D415+E415+F415</f>
        <v/>
      </c>
      <c r="H415" s="6" t="n">
        <v>0</v>
      </c>
      <c r="I415" s="31" t="n">
        <v>0</v>
      </c>
      <c r="J415" s="6" t="n">
        <v>0</v>
      </c>
      <c r="K415" s="12" t="n">
        <v>0</v>
      </c>
      <c r="L415" s="6" t="n">
        <v>319.8</v>
      </c>
      <c r="N415" s="18" t="n">
        <v>0</v>
      </c>
      <c r="O415" s="18" t="n">
        <v>0</v>
      </c>
      <c r="P415" s="18" t="n">
        <v>0</v>
      </c>
      <c r="Q415" s="18" t="n">
        <v>0.008245000000000001</v>
      </c>
    </row>
    <row r="416">
      <c r="A416" s="30" t="n">
        <v>4319307</v>
      </c>
      <c r="B416" s="5" t="inlineStr">
        <is>
          <t>São Paulo das Missões</t>
        </is>
      </c>
      <c r="C416" s="19">
        <f>N416</f>
        <v/>
      </c>
      <c r="D416" s="19">
        <f>O416</f>
        <v/>
      </c>
      <c r="E416" s="19">
        <f>P416</f>
        <v/>
      </c>
      <c r="F416" s="19">
        <f>Q416</f>
        <v/>
      </c>
      <c r="G416" s="19">
        <f>C416+D416+E416+F416</f>
        <v/>
      </c>
      <c r="H416" s="6" t="n">
        <v>0</v>
      </c>
      <c r="I416" s="31" t="n">
        <v>0</v>
      </c>
      <c r="J416" s="6" t="n">
        <v>72</v>
      </c>
      <c r="K416" s="12" t="n">
        <v>0.619</v>
      </c>
      <c r="L416" s="6" t="n">
        <v>310.7</v>
      </c>
      <c r="N416" s="18" t="n">
        <v>0.01205</v>
      </c>
      <c r="O416" s="18" t="n">
        <v>0</v>
      </c>
      <c r="P416" s="18" t="n">
        <v>0</v>
      </c>
      <c r="Q416" s="18" t="n">
        <v>0.011954</v>
      </c>
    </row>
    <row r="417">
      <c r="A417" s="30" t="n">
        <v>4319356</v>
      </c>
      <c r="B417" s="5" t="inlineStr">
        <is>
          <t>São Pedro da Serra</t>
        </is>
      </c>
      <c r="C417" s="19">
        <f>N417</f>
        <v/>
      </c>
      <c r="D417" s="19">
        <f>O417</f>
        <v/>
      </c>
      <c r="E417" s="19">
        <f>P417</f>
        <v/>
      </c>
      <c r="F417" s="19">
        <f>Q417</f>
        <v/>
      </c>
      <c r="G417" s="19">
        <f>C417+D417+E417+F417</f>
        <v/>
      </c>
      <c r="H417" s="6" t="n">
        <v>0</v>
      </c>
      <c r="I417" s="31" t="n">
        <v>0</v>
      </c>
      <c r="J417" s="6" t="n">
        <v>0</v>
      </c>
      <c r="K417" s="12" t="n">
        <v>0</v>
      </c>
      <c r="L417" s="6" t="n">
        <v>90.8</v>
      </c>
      <c r="N417" s="18" t="n">
        <v>0</v>
      </c>
      <c r="O417" s="18" t="n">
        <v>0.466805</v>
      </c>
      <c r="P417" s="18" t="n">
        <v>0.283973</v>
      </c>
      <c r="Q417" s="18" t="n">
        <v>1.021495</v>
      </c>
    </row>
    <row r="418">
      <c r="A418" s="30" t="n">
        <v>4319364</v>
      </c>
      <c r="B418" s="5" t="inlineStr">
        <is>
          <t>São Pedro das Missões</t>
        </is>
      </c>
      <c r="C418" s="19">
        <f>N418</f>
        <v/>
      </c>
      <c r="D418" s="19">
        <f>O418</f>
        <v/>
      </c>
      <c r="E418" s="19">
        <f>P418</f>
        <v/>
      </c>
      <c r="F418" s="19">
        <f>Q418</f>
        <v/>
      </c>
      <c r="G418" s="19">
        <f>C418+D418+E418+F418</f>
        <v/>
      </c>
      <c r="H418" s="6" t="n">
        <v>0</v>
      </c>
      <c r="I418" s="31" t="n">
        <v>0</v>
      </c>
      <c r="J418" s="6" t="n">
        <v>0</v>
      </c>
      <c r="K418" s="12" t="n">
        <v>0</v>
      </c>
      <c r="L418" s="6" t="n">
        <v>222.3</v>
      </c>
      <c r="N418" s="18" t="n">
        <v>0</v>
      </c>
      <c r="O418" s="18" t="n">
        <v>0.016602</v>
      </c>
      <c r="P418" s="18" t="n">
        <v>0.036005</v>
      </c>
      <c r="Q418" s="18" t="n">
        <v>0.045478</v>
      </c>
    </row>
    <row r="419">
      <c r="A419" s="30" t="n">
        <v>4319372</v>
      </c>
      <c r="B419" s="5" t="inlineStr">
        <is>
          <t>São Pedro do Butiá</t>
        </is>
      </c>
      <c r="C419" s="19">
        <f>N419</f>
        <v/>
      </c>
      <c r="D419" s="19">
        <f>O419</f>
        <v/>
      </c>
      <c r="E419" s="19">
        <f>P419</f>
        <v/>
      </c>
      <c r="F419" s="19">
        <f>Q419</f>
        <v/>
      </c>
      <c r="G419" s="19">
        <f>C419+D419+E419+F419</f>
        <v/>
      </c>
      <c r="H419" s="6" t="n">
        <v>0</v>
      </c>
      <c r="I419" s="31" t="n">
        <v>0</v>
      </c>
      <c r="J419" s="6" t="n">
        <v>0</v>
      </c>
      <c r="K419" s="12" t="n">
        <v>0</v>
      </c>
      <c r="L419" s="6" t="n">
        <v>295.5</v>
      </c>
      <c r="N419" s="18" t="n">
        <v>0</v>
      </c>
      <c r="O419" s="18" t="n">
        <v>0</v>
      </c>
      <c r="P419" s="18" t="n">
        <v>0</v>
      </c>
      <c r="Q419" s="18" t="n">
        <v>0.010646</v>
      </c>
    </row>
    <row r="420">
      <c r="A420" s="30" t="n">
        <v>4319406</v>
      </c>
      <c r="B420" s="5" t="inlineStr">
        <is>
          <t>São Pedro do Sul</t>
        </is>
      </c>
      <c r="C420" s="19">
        <f>N420</f>
        <v/>
      </c>
      <c r="D420" s="19">
        <f>O420</f>
        <v/>
      </c>
      <c r="E420" s="19">
        <f>P420</f>
        <v/>
      </c>
      <c r="F420" s="19">
        <f>Q420</f>
        <v/>
      </c>
      <c r="G420" s="19">
        <f>C420+D420+E420+F420</f>
        <v/>
      </c>
      <c r="H420" s="6" t="n">
        <v>0</v>
      </c>
      <c r="I420" s="31" t="n">
        <v>0</v>
      </c>
      <c r="J420" s="6" t="n">
        <v>646</v>
      </c>
      <c r="K420" s="12" t="n">
        <v>5.556</v>
      </c>
      <c r="L420" s="6" t="n">
        <v>177.2</v>
      </c>
      <c r="N420" s="18" t="n">
        <v>0.108113</v>
      </c>
      <c r="O420" s="18" t="n">
        <v>0.230735</v>
      </c>
      <c r="P420" s="18" t="n">
        <v>0.274961</v>
      </c>
      <c r="Q420" s="18" t="n">
        <v>0.177184</v>
      </c>
    </row>
    <row r="421">
      <c r="A421" s="30" t="n">
        <v>4319505</v>
      </c>
      <c r="B421" s="5" t="inlineStr">
        <is>
          <t>São Sebastião do Caí</t>
        </is>
      </c>
      <c r="C421" s="19">
        <f>N421</f>
        <v/>
      </c>
      <c r="D421" s="19">
        <f>O421</f>
        <v/>
      </c>
      <c r="E421" s="19">
        <f>P421</f>
        <v/>
      </c>
      <c r="F421" s="19">
        <f>Q421</f>
        <v/>
      </c>
      <c r="G421" s="19">
        <f>C421+D421+E421+F421</f>
        <v/>
      </c>
      <c r="H421" s="6" t="n">
        <v>0</v>
      </c>
      <c r="I421" s="31" t="n">
        <v>0</v>
      </c>
      <c r="J421" s="6" t="n">
        <v>0</v>
      </c>
      <c r="K421" s="12" t="n">
        <v>0</v>
      </c>
      <c r="L421" s="6" t="n">
        <v>103.7</v>
      </c>
      <c r="N421" s="18" t="n">
        <v>0</v>
      </c>
      <c r="O421" s="18" t="n">
        <v>2.509268</v>
      </c>
      <c r="P421" s="18" t="n">
        <v>0.955135</v>
      </c>
      <c r="Q421" s="18" t="n">
        <v>2.726147</v>
      </c>
    </row>
    <row r="422">
      <c r="A422" s="30" t="n">
        <v>4319604</v>
      </c>
      <c r="B422" s="5" t="inlineStr">
        <is>
          <t>São Sepé</t>
        </is>
      </c>
      <c r="C422" s="19">
        <f>N422</f>
        <v/>
      </c>
      <c r="D422" s="19">
        <f>O422</f>
        <v/>
      </c>
      <c r="E422" s="19">
        <f>P422</f>
        <v/>
      </c>
      <c r="F422" s="19">
        <f>Q422</f>
        <v/>
      </c>
      <c r="G422" s="19">
        <f>C422+D422+E422+F422</f>
        <v/>
      </c>
      <c r="H422" s="6" t="n">
        <v>0</v>
      </c>
      <c r="I422" s="31" t="n">
        <v>0</v>
      </c>
      <c r="J422" s="6" t="n">
        <v>0</v>
      </c>
      <c r="K422" s="12" t="n">
        <v>0</v>
      </c>
      <c r="L422" s="6" t="n">
        <v>130.9</v>
      </c>
      <c r="N422" s="18" t="n">
        <v>0</v>
      </c>
      <c r="O422" s="18" t="n">
        <v>0.33428</v>
      </c>
      <c r="P422" s="18" t="n">
        <v>0.552562</v>
      </c>
      <c r="Q422" s="18" t="n">
        <v>0.370532</v>
      </c>
    </row>
    <row r="423">
      <c r="A423" s="30" t="n">
        <v>4319703</v>
      </c>
      <c r="B423" s="5" t="inlineStr">
        <is>
          <t>São Valentim</t>
        </is>
      </c>
      <c r="C423" s="19">
        <f>N423</f>
        <v/>
      </c>
      <c r="D423" s="19">
        <f>O423</f>
        <v/>
      </c>
      <c r="E423" s="19">
        <f>P423</f>
        <v/>
      </c>
      <c r="F423" s="19">
        <f>Q423</f>
        <v/>
      </c>
      <c r="G423" s="19">
        <f>C423+D423+E423+F423</f>
        <v/>
      </c>
      <c r="H423" s="6" t="n">
        <v>0</v>
      </c>
      <c r="I423" s="31" t="n">
        <v>0</v>
      </c>
      <c r="J423" s="6" t="n">
        <v>0</v>
      </c>
      <c r="K423" s="12" t="n">
        <v>0</v>
      </c>
      <c r="L423" s="6" t="n">
        <v>232.4</v>
      </c>
      <c r="N423" s="18" t="n">
        <v>0</v>
      </c>
      <c r="O423" s="18" t="n">
        <v>0.039374</v>
      </c>
      <c r="P423" s="18" t="n">
        <v>0.071788</v>
      </c>
      <c r="Q423" s="18" t="n">
        <v>0.068693</v>
      </c>
    </row>
    <row r="424">
      <c r="A424" s="30" t="n">
        <v>4319711</v>
      </c>
      <c r="B424" s="5" t="inlineStr">
        <is>
          <t>São Valentim do Sul</t>
        </is>
      </c>
      <c r="C424" s="19">
        <f>N424</f>
        <v/>
      </c>
      <c r="D424" s="19">
        <f>O424</f>
        <v/>
      </c>
      <c r="E424" s="19">
        <f>P424</f>
        <v/>
      </c>
      <c r="F424" s="19">
        <f>Q424</f>
        <v/>
      </c>
      <c r="G424" s="19">
        <f>C424+D424+E424+F424</f>
        <v/>
      </c>
      <c r="H424" s="6" t="n">
        <v>0</v>
      </c>
      <c r="I424" s="31" t="n">
        <v>0</v>
      </c>
      <c r="J424" s="6" t="n">
        <v>6</v>
      </c>
      <c r="K424" s="12" t="n">
        <v>0.052</v>
      </c>
      <c r="L424" s="6" t="n">
        <v>90.59999999999999</v>
      </c>
      <c r="N424" s="18" t="n">
        <v>0.001004</v>
      </c>
      <c r="O424" s="18" t="n">
        <v>0.392516</v>
      </c>
      <c r="P424" s="18" t="n">
        <v>0.183133</v>
      </c>
      <c r="Q424" s="18" t="n">
        <v>0.647378</v>
      </c>
    </row>
    <row r="425">
      <c r="A425" s="30" t="n">
        <v>4319737</v>
      </c>
      <c r="B425" s="5" t="inlineStr">
        <is>
          <t>São Valério do Sul</t>
        </is>
      </c>
      <c r="C425" s="19">
        <f>N425</f>
        <v/>
      </c>
      <c r="D425" s="19">
        <f>O425</f>
        <v/>
      </c>
      <c r="E425" s="19">
        <f>P425</f>
        <v/>
      </c>
      <c r="F425" s="19">
        <f>Q425</f>
        <v/>
      </c>
      <c r="G425" s="19">
        <f>C425+D425+E425+F425</f>
        <v/>
      </c>
      <c r="H425" s="6" t="n">
        <v>0</v>
      </c>
      <c r="I425" s="31" t="n">
        <v>0</v>
      </c>
      <c r="J425" s="6" t="n">
        <v>0</v>
      </c>
      <c r="K425" s="12" t="n">
        <v>0</v>
      </c>
      <c r="L425" s="6" t="n">
        <v>249.9</v>
      </c>
      <c r="N425" s="18" t="n">
        <v>0</v>
      </c>
      <c r="O425" s="18" t="n">
        <v>0.017139</v>
      </c>
      <c r="P425" s="18" t="n">
        <v>0.019445</v>
      </c>
      <c r="Q425" s="18" t="n">
        <v>0.031287</v>
      </c>
    </row>
    <row r="426">
      <c r="A426" s="30" t="n">
        <v>4319752</v>
      </c>
      <c r="B426" s="5" t="inlineStr">
        <is>
          <t>São Vendelino</t>
        </is>
      </c>
      <c r="C426" s="19">
        <f>N426</f>
        <v/>
      </c>
      <c r="D426" s="19">
        <f>O426</f>
        <v/>
      </c>
      <c r="E426" s="19">
        <f>P426</f>
        <v/>
      </c>
      <c r="F426" s="19">
        <f>Q426</f>
        <v/>
      </c>
      <c r="G426" s="19">
        <f>C426+D426+E426+F426</f>
        <v/>
      </c>
      <c r="H426" s="6" t="n">
        <v>0</v>
      </c>
      <c r="I426" s="31" t="n">
        <v>0</v>
      </c>
      <c r="J426" s="6" t="n">
        <v>0</v>
      </c>
      <c r="K426" s="12" t="n">
        <v>0</v>
      </c>
      <c r="L426" s="6" t="n">
        <v>104.4</v>
      </c>
      <c r="N426" s="18" t="n">
        <v>0</v>
      </c>
      <c r="O426" s="18" t="n">
        <v>6.586567</v>
      </c>
      <c r="P426" s="18" t="n">
        <v>0.240798</v>
      </c>
      <c r="Q426" s="18" t="n">
        <v>0.785614</v>
      </c>
    </row>
    <row r="427">
      <c r="A427" s="30" t="n">
        <v>4319802</v>
      </c>
      <c r="B427" s="5" t="inlineStr">
        <is>
          <t>São Vicente do Sul</t>
        </is>
      </c>
      <c r="C427" s="19">
        <f>N427</f>
        <v/>
      </c>
      <c r="D427" s="19">
        <f>O427</f>
        <v/>
      </c>
      <c r="E427" s="19">
        <f>P427</f>
        <v/>
      </c>
      <c r="F427" s="19">
        <f>Q427</f>
        <v/>
      </c>
      <c r="G427" s="19">
        <f>C427+D427+E427+F427</f>
        <v/>
      </c>
      <c r="H427" s="6" t="n">
        <v>0</v>
      </c>
      <c r="I427" s="31" t="n">
        <v>0</v>
      </c>
      <c r="J427" s="6" t="n">
        <v>9</v>
      </c>
      <c r="K427" s="12" t="n">
        <v>0.077</v>
      </c>
      <c r="L427" s="6" t="n">
        <v>227.1</v>
      </c>
      <c r="N427" s="18" t="n">
        <v>0.001506</v>
      </c>
      <c r="O427" s="18" t="n">
        <v>0.082118</v>
      </c>
      <c r="P427" s="18" t="n">
        <v>0.120539</v>
      </c>
      <c r="Q427" s="18" t="n">
        <v>0.031945</v>
      </c>
    </row>
    <row r="428">
      <c r="A428" s="30" t="n">
        <v>4319901</v>
      </c>
      <c r="B428" s="5" t="inlineStr">
        <is>
          <t>Sapiranga</t>
        </is>
      </c>
      <c r="C428" s="19">
        <f>N428</f>
        <v/>
      </c>
      <c r="D428" s="19">
        <f>O428</f>
        <v/>
      </c>
      <c r="E428" s="19">
        <f>P428</f>
        <v/>
      </c>
      <c r="F428" s="19">
        <f>Q428</f>
        <v/>
      </c>
      <c r="G428" s="19">
        <f>C428+D428+E428+F428</f>
        <v/>
      </c>
      <c r="H428" s="6" t="n">
        <v>0</v>
      </c>
      <c r="I428" s="31" t="n">
        <v>0</v>
      </c>
      <c r="J428" s="6" t="n">
        <v>0</v>
      </c>
      <c r="K428" s="12" t="n">
        <v>0</v>
      </c>
      <c r="L428" s="6" t="n">
        <v>136.6</v>
      </c>
      <c r="N428" s="18" t="n">
        <v>0</v>
      </c>
      <c r="O428" s="18" t="n">
        <v>13.240452</v>
      </c>
      <c r="P428" s="18" t="n">
        <v>1.153178</v>
      </c>
      <c r="Q428" s="18" t="n">
        <v>4.36544</v>
      </c>
    </row>
    <row r="429">
      <c r="A429" s="30" t="n">
        <v>4320008</v>
      </c>
      <c r="B429" s="5" t="inlineStr">
        <is>
          <t>Sapucaia do Sul</t>
        </is>
      </c>
      <c r="C429" s="19">
        <f>N429</f>
        <v/>
      </c>
      <c r="D429" s="19">
        <f>O429</f>
        <v/>
      </c>
      <c r="E429" s="19">
        <f>P429</f>
        <v/>
      </c>
      <c r="F429" s="19">
        <f>Q429</f>
        <v/>
      </c>
      <c r="G429" s="19">
        <f>C429+D429+E429+F429</f>
        <v/>
      </c>
      <c r="H429" s="6" t="n">
        <v>0</v>
      </c>
      <c r="I429" s="31" t="n">
        <v>0</v>
      </c>
      <c r="J429" s="6" t="n">
        <v>0</v>
      </c>
      <c r="K429" s="12" t="n">
        <v>0</v>
      </c>
      <c r="L429" s="6" t="n">
        <v>124.6</v>
      </c>
      <c r="N429" s="18" t="n">
        <v>0</v>
      </c>
      <c r="O429" s="18" t="n">
        <v>15.585982</v>
      </c>
      <c r="P429" s="18" t="n">
        <v>1.420221</v>
      </c>
      <c r="Q429" s="18" t="n">
        <v>6.332521</v>
      </c>
    </row>
    <row r="430">
      <c r="A430" s="30" t="n">
        <v>4320107</v>
      </c>
      <c r="B430" s="5" t="inlineStr">
        <is>
          <t>Sarandi</t>
        </is>
      </c>
      <c r="C430" s="19">
        <f>N430</f>
        <v/>
      </c>
      <c r="D430" s="19">
        <f>O430</f>
        <v/>
      </c>
      <c r="E430" s="19">
        <f>P430</f>
        <v/>
      </c>
      <c r="F430" s="19">
        <f>Q430</f>
        <v/>
      </c>
      <c r="G430" s="19">
        <f>C430+D430+E430+F430</f>
        <v/>
      </c>
      <c r="H430" s="6" t="n">
        <v>0</v>
      </c>
      <c r="I430" s="31" t="n">
        <v>0</v>
      </c>
      <c r="J430" s="6" t="n">
        <v>0</v>
      </c>
      <c r="K430" s="12" t="n">
        <v>0</v>
      </c>
      <c r="L430" s="6" t="n">
        <v>195</v>
      </c>
      <c r="N430" s="18" t="n">
        <v>0</v>
      </c>
      <c r="O430" s="18" t="n">
        <v>0.555895</v>
      </c>
      <c r="P430" s="18" t="n">
        <v>0.428225</v>
      </c>
      <c r="Q430" s="18" t="n">
        <v>0.242015</v>
      </c>
    </row>
    <row r="431">
      <c r="A431" s="30" t="n">
        <v>4320206</v>
      </c>
      <c r="B431" s="5" t="inlineStr">
        <is>
          <t>Seberi</t>
        </is>
      </c>
      <c r="C431" s="19">
        <f>N431</f>
        <v/>
      </c>
      <c r="D431" s="19">
        <f>O431</f>
        <v/>
      </c>
      <c r="E431" s="19">
        <f>P431</f>
        <v/>
      </c>
      <c r="F431" s="19">
        <f>Q431</f>
        <v/>
      </c>
      <c r="G431" s="19">
        <f>C431+D431+E431+F431</f>
        <v/>
      </c>
      <c r="H431" s="6" t="n">
        <v>0</v>
      </c>
      <c r="I431" s="31" t="n">
        <v>0</v>
      </c>
      <c r="J431" s="6" t="n">
        <v>116</v>
      </c>
      <c r="K431" s="12" t="n">
        <v>0.998</v>
      </c>
      <c r="L431" s="6" t="n">
        <v>255.5</v>
      </c>
      <c r="N431" s="18" t="n">
        <v>0.019413</v>
      </c>
      <c r="O431" s="18" t="n">
        <v>0.175185</v>
      </c>
      <c r="P431" s="18" t="n">
        <v>0.135179</v>
      </c>
      <c r="Q431" s="18" t="n">
        <v>0.076567</v>
      </c>
    </row>
    <row r="432">
      <c r="A432" s="30" t="n">
        <v>4320230</v>
      </c>
      <c r="B432" s="5" t="inlineStr">
        <is>
          <t>Sede Nova</t>
        </is>
      </c>
      <c r="C432" s="19">
        <f>N432</f>
        <v/>
      </c>
      <c r="D432" s="19">
        <f>O432</f>
        <v/>
      </c>
      <c r="E432" s="19">
        <f>P432</f>
        <v/>
      </c>
      <c r="F432" s="19">
        <f>Q432</f>
        <v/>
      </c>
      <c r="G432" s="19">
        <f>C432+D432+E432+F432</f>
        <v/>
      </c>
      <c r="H432" s="6" t="n">
        <v>0</v>
      </c>
      <c r="I432" s="31" t="n">
        <v>0</v>
      </c>
      <c r="J432" s="6" t="n">
        <v>4</v>
      </c>
      <c r="K432" s="12" t="n">
        <v>0.034</v>
      </c>
      <c r="L432" s="6" t="n">
        <v>268.8</v>
      </c>
      <c r="N432" s="18" t="n">
        <v>0.000669</v>
      </c>
      <c r="O432" s="18" t="n">
        <v>0</v>
      </c>
      <c r="P432" s="18" t="n">
        <v>0</v>
      </c>
      <c r="Q432" s="18" t="n">
        <v>0.02565</v>
      </c>
    </row>
    <row r="433">
      <c r="A433" s="30" t="n">
        <v>4320263</v>
      </c>
      <c r="B433" s="5" t="inlineStr">
        <is>
          <t>Segredo</t>
        </is>
      </c>
      <c r="C433" s="19">
        <f>N433</f>
        <v/>
      </c>
      <c r="D433" s="19">
        <f>O433</f>
        <v/>
      </c>
      <c r="E433" s="19">
        <f>P433</f>
        <v/>
      </c>
      <c r="F433" s="19">
        <f>Q433</f>
        <v/>
      </c>
      <c r="G433" s="19">
        <f>C433+D433+E433+F433</f>
        <v/>
      </c>
      <c r="H433" s="6" t="n">
        <v>0</v>
      </c>
      <c r="I433" s="31" t="n">
        <v>1</v>
      </c>
      <c r="J433" s="6" t="n">
        <v>7115</v>
      </c>
      <c r="K433" s="12" t="n">
        <v>61.189</v>
      </c>
      <c r="L433" s="6" t="n">
        <v>62.7</v>
      </c>
      <c r="N433" s="18" t="n">
        <v>1.190749</v>
      </c>
      <c r="O433" s="18" t="n">
        <v>0.173573</v>
      </c>
      <c r="P433" s="18" t="n">
        <v>0.377313</v>
      </c>
      <c r="Q433" s="18" t="n">
        <v>0.67937</v>
      </c>
    </row>
    <row r="434">
      <c r="A434" s="30" t="n">
        <v>4320305</v>
      </c>
      <c r="B434" s="5" t="inlineStr">
        <is>
          <t>Selbach</t>
        </is>
      </c>
      <c r="C434" s="19">
        <f>N434</f>
        <v/>
      </c>
      <c r="D434" s="19">
        <f>O434</f>
        <v/>
      </c>
      <c r="E434" s="19">
        <f>P434</f>
        <v/>
      </c>
      <c r="F434" s="19">
        <f>Q434</f>
        <v/>
      </c>
      <c r="G434" s="19">
        <f>C434+D434+E434+F434</f>
        <v/>
      </c>
      <c r="H434" s="6" t="n">
        <v>0</v>
      </c>
      <c r="I434" s="31" t="n">
        <v>0</v>
      </c>
      <c r="J434" s="6" t="n">
        <v>0</v>
      </c>
      <c r="K434" s="12" t="n">
        <v>0</v>
      </c>
      <c r="L434" s="6" t="n">
        <v>121.8</v>
      </c>
      <c r="N434" s="18" t="n">
        <v>0</v>
      </c>
      <c r="O434" s="18" t="n">
        <v>0.331476</v>
      </c>
      <c r="P434" s="18" t="n">
        <v>0.326472</v>
      </c>
      <c r="Q434" s="18" t="n">
        <v>0.339841</v>
      </c>
    </row>
    <row r="435">
      <c r="A435" s="30" t="n">
        <v>4320321</v>
      </c>
      <c r="B435" s="5" t="inlineStr">
        <is>
          <t>Senador Salgado Filho</t>
        </is>
      </c>
      <c r="C435" s="19">
        <f>N435</f>
        <v/>
      </c>
      <c r="D435" s="19">
        <f>O435</f>
        <v/>
      </c>
      <c r="E435" s="19">
        <f>P435</f>
        <v/>
      </c>
      <c r="F435" s="19">
        <f>Q435</f>
        <v/>
      </c>
      <c r="G435" s="19">
        <f>C435+D435+E435+F435</f>
        <v/>
      </c>
      <c r="H435" s="6" t="n">
        <v>0</v>
      </c>
      <c r="I435" s="31" t="n">
        <v>0</v>
      </c>
      <c r="J435" s="6" t="n">
        <v>0</v>
      </c>
      <c r="K435" s="12" t="n">
        <v>0</v>
      </c>
      <c r="L435" s="6" t="n">
        <v>274.4</v>
      </c>
      <c r="N435" s="18" t="n">
        <v>0</v>
      </c>
      <c r="O435" s="18" t="n">
        <v>0</v>
      </c>
      <c r="P435" s="18" t="n">
        <v>0</v>
      </c>
      <c r="Q435" s="18" t="n">
        <v>0.016582</v>
      </c>
    </row>
    <row r="436">
      <c r="A436" s="30" t="n">
        <v>4320354</v>
      </c>
      <c r="B436" s="5" t="inlineStr">
        <is>
          <t>Sentinela do Sul</t>
        </is>
      </c>
      <c r="C436" s="19">
        <f>N436</f>
        <v/>
      </c>
      <c r="D436" s="19">
        <f>O436</f>
        <v/>
      </c>
      <c r="E436" s="19">
        <f>P436</f>
        <v/>
      </c>
      <c r="F436" s="19">
        <f>Q436</f>
        <v/>
      </c>
      <c r="G436" s="19">
        <f>C436+D436+E436+F436</f>
        <v/>
      </c>
      <c r="H436" s="6" t="n">
        <v>0</v>
      </c>
      <c r="I436" s="31" t="n">
        <v>0</v>
      </c>
      <c r="J436" s="6" t="n">
        <v>1080</v>
      </c>
      <c r="K436" s="12" t="n">
        <v>9.288</v>
      </c>
      <c r="L436" s="6" t="n">
        <v>133.1</v>
      </c>
      <c r="N436" s="18" t="n">
        <v>0.180746</v>
      </c>
      <c r="O436" s="18" t="n">
        <v>0.210587</v>
      </c>
      <c r="P436" s="18" t="n">
        <v>0.164823</v>
      </c>
      <c r="Q436" s="18" t="n">
        <v>0.6004389999999999</v>
      </c>
    </row>
    <row r="437">
      <c r="A437" s="30" t="n">
        <v>4320404</v>
      </c>
      <c r="B437" s="5" t="inlineStr">
        <is>
          <t>Serafina Corrêa</t>
        </is>
      </c>
      <c r="C437" s="19">
        <f>N437</f>
        <v/>
      </c>
      <c r="D437" s="19">
        <f>O437</f>
        <v/>
      </c>
      <c r="E437" s="19">
        <f>P437</f>
        <v/>
      </c>
      <c r="F437" s="19">
        <f>Q437</f>
        <v/>
      </c>
      <c r="G437" s="19">
        <f>C437+D437+E437+F437</f>
        <v/>
      </c>
      <c r="H437" s="6" t="n">
        <v>0</v>
      </c>
      <c r="I437" s="31" t="n">
        <v>0</v>
      </c>
      <c r="J437" s="6" t="n">
        <v>10</v>
      </c>
      <c r="K437" s="12" t="n">
        <v>0.08599999999999999</v>
      </c>
      <c r="L437" s="6" t="n">
        <v>114.4</v>
      </c>
      <c r="N437" s="18" t="n">
        <v>0.001674</v>
      </c>
      <c r="O437" s="18" t="n">
        <v>15.323417</v>
      </c>
      <c r="P437" s="18" t="n">
        <v>0.791762</v>
      </c>
      <c r="Q437" s="18" t="n">
        <v>1.280559</v>
      </c>
    </row>
    <row r="438">
      <c r="A438" s="30" t="n">
        <v>4320453</v>
      </c>
      <c r="B438" s="5" t="inlineStr">
        <is>
          <t>Sério</t>
        </is>
      </c>
      <c r="C438" s="19">
        <f>N438</f>
        <v/>
      </c>
      <c r="D438" s="19">
        <f>O438</f>
        <v/>
      </c>
      <c r="E438" s="19">
        <f>P438</f>
        <v/>
      </c>
      <c r="F438" s="19">
        <f>Q438</f>
        <v/>
      </c>
      <c r="G438" s="19">
        <f>C438+D438+E438+F438</f>
        <v/>
      </c>
      <c r="H438" s="6" t="n">
        <v>0</v>
      </c>
      <c r="I438" s="31" t="n">
        <v>0</v>
      </c>
      <c r="J438" s="6" t="n">
        <v>568</v>
      </c>
      <c r="K438" s="12" t="n">
        <v>4.885</v>
      </c>
      <c r="L438" s="6" t="n">
        <v>32</v>
      </c>
      <c r="N438" s="18" t="n">
        <v>0.095059</v>
      </c>
      <c r="O438" s="18" t="n">
        <v>0.192709</v>
      </c>
      <c r="P438" s="18" t="n">
        <v>0.34635</v>
      </c>
      <c r="Q438" s="18" t="n">
        <v>0.705783</v>
      </c>
    </row>
    <row r="439">
      <c r="A439" s="30" t="n">
        <v>4320503</v>
      </c>
      <c r="B439" s="5" t="inlineStr">
        <is>
          <t>Sertão</t>
        </is>
      </c>
      <c r="C439" s="19">
        <f>N439</f>
        <v/>
      </c>
      <c r="D439" s="19">
        <f>O439</f>
        <v/>
      </c>
      <c r="E439" s="19">
        <f>P439</f>
        <v/>
      </c>
      <c r="F439" s="19">
        <f>Q439</f>
        <v/>
      </c>
      <c r="G439" s="19">
        <f>C439+D439+E439+F439</f>
        <v/>
      </c>
      <c r="H439" s="6" t="n">
        <v>0</v>
      </c>
      <c r="I439" s="31" t="n">
        <v>0</v>
      </c>
      <c r="J439" s="6" t="n">
        <v>15</v>
      </c>
      <c r="K439" s="12" t="n">
        <v>0.129</v>
      </c>
      <c r="L439" s="6" t="n">
        <v>181.6</v>
      </c>
      <c r="N439" s="18" t="n">
        <v>0.00251</v>
      </c>
      <c r="O439" s="18" t="n">
        <v>0.091838</v>
      </c>
      <c r="P439" s="18" t="n">
        <v>0.147651</v>
      </c>
      <c r="Q439" s="18" t="n">
        <v>0.230794</v>
      </c>
    </row>
    <row r="440">
      <c r="A440" s="30" t="n">
        <v>4320552</v>
      </c>
      <c r="B440" s="5" t="inlineStr">
        <is>
          <t>Sertão Santana</t>
        </is>
      </c>
      <c r="C440" s="19">
        <f>N440</f>
        <v/>
      </c>
      <c r="D440" s="19">
        <f>O440</f>
        <v/>
      </c>
      <c r="E440" s="19">
        <f>P440</f>
        <v/>
      </c>
      <c r="F440" s="19">
        <f>Q440</f>
        <v/>
      </c>
      <c r="G440" s="19">
        <f>C440+D440+E440+F440</f>
        <v/>
      </c>
      <c r="H440" s="6" t="n">
        <v>0</v>
      </c>
      <c r="I440" s="31" t="n">
        <v>0</v>
      </c>
      <c r="J440" s="6" t="n">
        <v>3990</v>
      </c>
      <c r="K440" s="12" t="n">
        <v>34.314</v>
      </c>
      <c r="L440" s="6" t="n">
        <v>117.9</v>
      </c>
      <c r="N440" s="18" t="n">
        <v>0.667757</v>
      </c>
      <c r="O440" s="18" t="n">
        <v>0.29308</v>
      </c>
      <c r="P440" s="18" t="n">
        <v>0.284522</v>
      </c>
      <c r="Q440" s="18" t="n">
        <v>0.769282</v>
      </c>
    </row>
    <row r="441">
      <c r="A441" s="30" t="n">
        <v>4320578</v>
      </c>
      <c r="B441" s="5" t="inlineStr">
        <is>
          <t>Sete de Setembro</t>
        </is>
      </c>
      <c r="C441" s="19">
        <f>N441</f>
        <v/>
      </c>
      <c r="D441" s="19">
        <f>O441</f>
        <v/>
      </c>
      <c r="E441" s="19">
        <f>P441</f>
        <v/>
      </c>
      <c r="F441" s="19">
        <f>Q441</f>
        <v/>
      </c>
      <c r="G441" s="19">
        <f>C441+D441+E441+F441</f>
        <v/>
      </c>
      <c r="H441" s="6" t="n">
        <v>0</v>
      </c>
      <c r="I441" s="31" t="n">
        <v>0</v>
      </c>
      <c r="J441" s="6" t="n">
        <v>0</v>
      </c>
      <c r="K441" s="12" t="n">
        <v>0</v>
      </c>
      <c r="L441" s="6" t="n">
        <v>260.3</v>
      </c>
      <c r="N441" s="18" t="n">
        <v>0</v>
      </c>
      <c r="O441" s="18" t="n">
        <v>0</v>
      </c>
      <c r="P441" s="18" t="n">
        <v>0</v>
      </c>
      <c r="Q441" s="18" t="n">
        <v>0.016474</v>
      </c>
    </row>
    <row r="442">
      <c r="A442" s="30" t="n">
        <v>4320602</v>
      </c>
      <c r="B442" s="5" t="inlineStr">
        <is>
          <t>Severiano de Almeida</t>
        </is>
      </c>
      <c r="C442" s="19">
        <f>N442</f>
        <v/>
      </c>
      <c r="D442" s="19">
        <f>O442</f>
        <v/>
      </c>
      <c r="E442" s="19">
        <f>P442</f>
        <v/>
      </c>
      <c r="F442" s="19">
        <f>Q442</f>
        <v/>
      </c>
      <c r="G442" s="19">
        <f>C442+D442+E442+F442</f>
        <v/>
      </c>
      <c r="H442" s="6" t="n">
        <v>0</v>
      </c>
      <c r="I442" s="31" t="n">
        <v>0</v>
      </c>
      <c r="J442" s="6" t="n">
        <v>49</v>
      </c>
      <c r="K442" s="12" t="n">
        <v>0.421</v>
      </c>
      <c r="L442" s="6" t="n">
        <v>249</v>
      </c>
      <c r="N442" s="18" t="n">
        <v>0.008201</v>
      </c>
      <c r="O442" s="18" t="n">
        <v>0.048787</v>
      </c>
      <c r="P442" s="18" t="n">
        <v>0.078587</v>
      </c>
      <c r="Q442" s="18" t="n">
        <v>0.058857</v>
      </c>
    </row>
    <row r="443">
      <c r="A443" s="30" t="n">
        <v>4320651</v>
      </c>
      <c r="B443" s="5" t="inlineStr">
        <is>
          <t>Silveira Martins</t>
        </is>
      </c>
      <c r="C443" s="19">
        <f>N443</f>
        <v/>
      </c>
      <c r="D443" s="19">
        <f>O443</f>
        <v/>
      </c>
      <c r="E443" s="19">
        <f>P443</f>
        <v/>
      </c>
      <c r="F443" s="19">
        <f>Q443</f>
        <v/>
      </c>
      <c r="G443" s="19">
        <f>C443+D443+E443+F443</f>
        <v/>
      </c>
      <c r="H443" s="6" t="n">
        <v>0</v>
      </c>
      <c r="I443" s="31" t="n">
        <v>0</v>
      </c>
      <c r="J443" s="6" t="n">
        <v>5</v>
      </c>
      <c r="K443" s="12" t="n">
        <v>0.043</v>
      </c>
      <c r="L443" s="6" t="n">
        <v>112.5</v>
      </c>
      <c r="N443" s="18" t="n">
        <v>0.000837</v>
      </c>
      <c r="O443" s="18" t="n">
        <v>0.127796</v>
      </c>
      <c r="P443" s="18" t="n">
        <v>0.150916</v>
      </c>
      <c r="Q443" s="18" t="n">
        <v>0.160263</v>
      </c>
    </row>
    <row r="444">
      <c r="A444" s="30" t="n">
        <v>4320677</v>
      </c>
      <c r="B444" s="5" t="inlineStr">
        <is>
          <t>Sinimbu</t>
        </is>
      </c>
      <c r="C444" s="19">
        <f>N444</f>
        <v/>
      </c>
      <c r="D444" s="19">
        <f>O444</f>
        <v/>
      </c>
      <c r="E444" s="19">
        <f>P444</f>
        <v/>
      </c>
      <c r="F444" s="19">
        <f>Q444</f>
        <v/>
      </c>
      <c r="G444" s="19">
        <f>C444+D444+E444+F444</f>
        <v/>
      </c>
      <c r="H444" s="6" t="n">
        <v>0</v>
      </c>
      <c r="I444" s="31" t="n">
        <v>1</v>
      </c>
      <c r="J444" s="6" t="n">
        <v>7560</v>
      </c>
      <c r="K444" s="12" t="n">
        <v>65.01600000000001</v>
      </c>
      <c r="L444" s="6" t="n">
        <v>27.3</v>
      </c>
      <c r="N444" s="18" t="n">
        <v>1.265223</v>
      </c>
      <c r="O444" s="18" t="n">
        <v>0.967071</v>
      </c>
      <c r="P444" s="18" t="n">
        <v>1.071767</v>
      </c>
      <c r="Q444" s="18" t="n">
        <v>1.709096</v>
      </c>
    </row>
    <row r="445">
      <c r="A445" s="30" t="n">
        <v>4320701</v>
      </c>
      <c r="B445" s="5" t="inlineStr">
        <is>
          <t>Sobradinho</t>
        </is>
      </c>
      <c r="C445" s="19">
        <f>N445</f>
        <v/>
      </c>
      <c r="D445" s="19">
        <f>O445</f>
        <v/>
      </c>
      <c r="E445" s="19">
        <f>P445</f>
        <v/>
      </c>
      <c r="F445" s="19">
        <f>Q445</f>
        <v/>
      </c>
      <c r="G445" s="19">
        <f>C445+D445+E445+F445</f>
        <v/>
      </c>
      <c r="H445" s="6" t="n">
        <v>0</v>
      </c>
      <c r="I445" s="31" t="n">
        <v>1</v>
      </c>
      <c r="J445" s="6" t="n">
        <v>3420</v>
      </c>
      <c r="K445" s="12" t="n">
        <v>29.412</v>
      </c>
      <c r="L445" s="6" t="n">
        <v>65.59999999999999</v>
      </c>
      <c r="N445" s="18" t="n">
        <v>0.572363</v>
      </c>
      <c r="O445" s="18" t="n">
        <v>0.7455889999999999</v>
      </c>
      <c r="P445" s="18" t="n">
        <v>1.24324</v>
      </c>
      <c r="Q445" s="18" t="n">
        <v>1.192709</v>
      </c>
    </row>
    <row r="446">
      <c r="A446" s="30" t="n">
        <v>4320800</v>
      </c>
      <c r="B446" s="5" t="inlineStr">
        <is>
          <t>Soledade</t>
        </is>
      </c>
      <c r="C446" s="19">
        <f>N446</f>
        <v/>
      </c>
      <c r="D446" s="19">
        <f>O446</f>
        <v/>
      </c>
      <c r="E446" s="19">
        <f>P446</f>
        <v/>
      </c>
      <c r="F446" s="19">
        <f>Q446</f>
        <v/>
      </c>
      <c r="G446" s="19">
        <f>C446+D446+E446+F446</f>
        <v/>
      </c>
      <c r="H446" s="6" t="n">
        <v>0</v>
      </c>
      <c r="I446" s="31" t="n">
        <v>0</v>
      </c>
      <c r="J446" s="6" t="n">
        <v>34</v>
      </c>
      <c r="K446" s="12" t="n">
        <v>0.292</v>
      </c>
      <c r="L446" s="6" t="n">
        <v>90.40000000000001</v>
      </c>
      <c r="N446" s="18" t="n">
        <v>0.00569</v>
      </c>
      <c r="O446" s="18" t="n">
        <v>1.258519</v>
      </c>
      <c r="P446" s="18" t="n">
        <v>1.250117</v>
      </c>
      <c r="Q446" s="18" t="n">
        <v>1.5213</v>
      </c>
    </row>
    <row r="447">
      <c r="A447" s="30" t="n">
        <v>4320859</v>
      </c>
      <c r="B447" s="5" t="inlineStr">
        <is>
          <t>Tabaí</t>
        </is>
      </c>
      <c r="C447" s="19">
        <f>N447</f>
        <v/>
      </c>
      <c r="D447" s="19">
        <f>O447</f>
        <v/>
      </c>
      <c r="E447" s="19">
        <f>P447</f>
        <v/>
      </c>
      <c r="F447" s="19">
        <f>Q447</f>
        <v/>
      </c>
      <c r="G447" s="19">
        <f>C447+D447+E447+F447</f>
        <v/>
      </c>
      <c r="H447" s="6" t="n">
        <v>0</v>
      </c>
      <c r="I447" s="31" t="n">
        <v>0</v>
      </c>
      <c r="J447" s="6" t="n">
        <v>0</v>
      </c>
      <c r="K447" s="12" t="n">
        <v>0</v>
      </c>
      <c r="L447" s="6" t="n">
        <v>65.5</v>
      </c>
      <c r="N447" s="18" t="n">
        <v>0</v>
      </c>
      <c r="O447" s="18" t="n">
        <v>0.462012</v>
      </c>
      <c r="P447" s="18" t="n">
        <v>0.412991</v>
      </c>
      <c r="Q447" s="18" t="n">
        <v>1.164229</v>
      </c>
    </row>
    <row r="448">
      <c r="A448" s="30" t="n">
        <v>4320909</v>
      </c>
      <c r="B448" s="5" t="inlineStr">
        <is>
          <t>Tapejara</t>
        </is>
      </c>
      <c r="C448" s="19">
        <f>N448</f>
        <v/>
      </c>
      <c r="D448" s="19">
        <f>O448</f>
        <v/>
      </c>
      <c r="E448" s="19">
        <f>P448</f>
        <v/>
      </c>
      <c r="F448" s="19">
        <f>Q448</f>
        <v/>
      </c>
      <c r="G448" s="19">
        <f>C448+D448+E448+F448</f>
        <v/>
      </c>
      <c r="H448" s="6" t="n">
        <v>0</v>
      </c>
      <c r="I448" s="31" t="n">
        <v>0</v>
      </c>
      <c r="J448" s="6" t="n">
        <v>0</v>
      </c>
      <c r="K448" s="12" t="n">
        <v>0</v>
      </c>
      <c r="L448" s="6" t="n">
        <v>180.2</v>
      </c>
      <c r="N448" s="18" t="n">
        <v>0</v>
      </c>
      <c r="O448" s="18" t="n">
        <v>5.219794</v>
      </c>
      <c r="P448" s="18" t="n">
        <v>0.470968</v>
      </c>
      <c r="Q448" s="18" t="n">
        <v>0.535752</v>
      </c>
    </row>
    <row r="449">
      <c r="A449" s="30" t="n">
        <v>4321006</v>
      </c>
      <c r="B449" s="5" t="inlineStr">
        <is>
          <t>Tapera</t>
        </is>
      </c>
      <c r="C449" s="19">
        <f>N449</f>
        <v/>
      </c>
      <c r="D449" s="19">
        <f>O449</f>
        <v/>
      </c>
      <c r="E449" s="19">
        <f>P449</f>
        <v/>
      </c>
      <c r="F449" s="19">
        <f>Q449</f>
        <v/>
      </c>
      <c r="G449" s="19">
        <f>C449+D449+E449+F449</f>
        <v/>
      </c>
      <c r="H449" s="6" t="n">
        <v>0</v>
      </c>
      <c r="I449" s="31" t="n">
        <v>0</v>
      </c>
      <c r="J449" s="6" t="n">
        <v>0</v>
      </c>
      <c r="K449" s="12" t="n">
        <v>0</v>
      </c>
      <c r="L449" s="6" t="n">
        <v>117.8</v>
      </c>
      <c r="N449" s="18" t="n">
        <v>0</v>
      </c>
      <c r="O449" s="18" t="n">
        <v>0.467462</v>
      </c>
      <c r="P449" s="18" t="n">
        <v>0.531295</v>
      </c>
      <c r="Q449" s="18" t="n">
        <v>0.5327</v>
      </c>
    </row>
    <row r="450">
      <c r="A450" s="30" t="n">
        <v>4321105</v>
      </c>
      <c r="B450" s="5" t="inlineStr">
        <is>
          <t>Tapes</t>
        </is>
      </c>
      <c r="C450" s="19">
        <f>N450</f>
        <v/>
      </c>
      <c r="D450" s="19">
        <f>O450</f>
        <v/>
      </c>
      <c r="E450" s="19">
        <f>P450</f>
        <v/>
      </c>
      <c r="F450" s="19">
        <f>Q450</f>
        <v/>
      </c>
      <c r="G450" s="19">
        <f>C450+D450+E450+F450</f>
        <v/>
      </c>
      <c r="H450" s="6" t="n">
        <v>0</v>
      </c>
      <c r="I450" s="31" t="n">
        <v>0</v>
      </c>
      <c r="J450" s="6" t="n">
        <v>5</v>
      </c>
      <c r="K450" s="12" t="n">
        <v>0.043</v>
      </c>
      <c r="L450" s="6" t="n">
        <v>146.3</v>
      </c>
      <c r="N450" s="18" t="n">
        <v>0.000837</v>
      </c>
      <c r="O450" s="18" t="n">
        <v>0.249564</v>
      </c>
      <c r="P450" s="18" t="n">
        <v>0.37303</v>
      </c>
      <c r="Q450" s="18" t="n">
        <v>0.958194</v>
      </c>
    </row>
    <row r="451">
      <c r="A451" s="30" t="n">
        <v>4321204</v>
      </c>
      <c r="B451" s="5" t="inlineStr">
        <is>
          <t>Taquara</t>
        </is>
      </c>
      <c r="C451" s="19">
        <f>N451</f>
        <v/>
      </c>
      <c r="D451" s="19">
        <f>O451</f>
        <v/>
      </c>
      <c r="E451" s="19">
        <f>P451</f>
        <v/>
      </c>
      <c r="F451" s="19">
        <f>Q451</f>
        <v/>
      </c>
      <c r="G451" s="19">
        <f>C451+D451+E451+F451</f>
        <v/>
      </c>
      <c r="H451" s="6" t="n">
        <v>0</v>
      </c>
      <c r="I451" s="31" t="n">
        <v>0</v>
      </c>
      <c r="J451" s="6" t="n">
        <v>0</v>
      </c>
      <c r="K451" s="12" t="n">
        <v>0</v>
      </c>
      <c r="L451" s="6" t="n">
        <v>159.2</v>
      </c>
      <c r="N451" s="18" t="n">
        <v>0</v>
      </c>
      <c r="O451" s="18" t="n">
        <v>2.057056</v>
      </c>
      <c r="P451" s="18" t="n">
        <v>0.782282</v>
      </c>
      <c r="Q451" s="18" t="n">
        <v>3.038794</v>
      </c>
    </row>
    <row r="452">
      <c r="A452" s="30" t="n">
        <v>4321303</v>
      </c>
      <c r="B452" s="5" t="inlineStr">
        <is>
          <t>Taquari</t>
        </is>
      </c>
      <c r="C452" s="19">
        <f>N452</f>
        <v/>
      </c>
      <c r="D452" s="19">
        <f>O452</f>
        <v/>
      </c>
      <c r="E452" s="19">
        <f>P452</f>
        <v/>
      </c>
      <c r="F452" s="19">
        <f>Q452</f>
        <v/>
      </c>
      <c r="G452" s="19">
        <f>C452+D452+E452+F452</f>
        <v/>
      </c>
      <c r="H452" s="6" t="n">
        <v>0</v>
      </c>
      <c r="I452" s="31" t="n">
        <v>0</v>
      </c>
      <c r="J452" s="6" t="n">
        <v>312</v>
      </c>
      <c r="K452" s="12" t="n">
        <v>2.683</v>
      </c>
      <c r="L452" s="6" t="n">
        <v>56.7</v>
      </c>
      <c r="N452" s="18" t="n">
        <v>0.052216</v>
      </c>
      <c r="O452" s="18" t="n">
        <v>1.845377</v>
      </c>
      <c r="P452" s="18" t="n">
        <v>1.844887</v>
      </c>
      <c r="Q452" s="18" t="n">
        <v>2.770776</v>
      </c>
    </row>
    <row r="453">
      <c r="A453" s="30" t="n">
        <v>4321329</v>
      </c>
      <c r="B453" s="5" t="inlineStr">
        <is>
          <t>Taquaruçu do Sul</t>
        </is>
      </c>
      <c r="C453" s="19">
        <f>N453</f>
        <v/>
      </c>
      <c r="D453" s="19">
        <f>O453</f>
        <v/>
      </c>
      <c r="E453" s="19">
        <f>P453</f>
        <v/>
      </c>
      <c r="F453" s="19">
        <f>Q453</f>
        <v/>
      </c>
      <c r="G453" s="19">
        <f>C453+D453+E453+F453</f>
        <v/>
      </c>
      <c r="H453" s="6" t="n">
        <v>0</v>
      </c>
      <c r="I453" s="31" t="n">
        <v>0</v>
      </c>
      <c r="J453" s="6" t="n">
        <v>132</v>
      </c>
      <c r="K453" s="12" t="n">
        <v>1.135</v>
      </c>
      <c r="L453" s="6" t="n">
        <v>269.6</v>
      </c>
      <c r="N453" s="18" t="n">
        <v>0.022091</v>
      </c>
      <c r="O453" s="18" t="n">
        <v>0</v>
      </c>
      <c r="P453" s="18" t="n">
        <v>0</v>
      </c>
      <c r="Q453" s="18" t="n">
        <v>0.031999</v>
      </c>
    </row>
    <row r="454">
      <c r="A454" s="30" t="n">
        <v>4321352</v>
      </c>
      <c r="B454" s="5" t="inlineStr">
        <is>
          <t>Tavares</t>
        </is>
      </c>
      <c r="C454" s="19">
        <f>N454</f>
        <v/>
      </c>
      <c r="D454" s="19">
        <f>O454</f>
        <v/>
      </c>
      <c r="E454" s="19">
        <f>P454</f>
        <v/>
      </c>
      <c r="F454" s="19">
        <f>Q454</f>
        <v/>
      </c>
      <c r="G454" s="19">
        <f>C454+D454+E454+F454</f>
        <v/>
      </c>
      <c r="H454" s="6" t="n">
        <v>0</v>
      </c>
      <c r="I454" s="31" t="n">
        <v>0</v>
      </c>
      <c r="J454" s="6" t="n">
        <v>0</v>
      </c>
      <c r="K454" s="12" t="n">
        <v>0</v>
      </c>
      <c r="L454" s="6" t="n">
        <v>222.6</v>
      </c>
      <c r="N454" s="18" t="n">
        <v>0</v>
      </c>
      <c r="O454" s="18" t="n">
        <v>0.039746</v>
      </c>
      <c r="P454" s="18" t="n">
        <v>0.08765199999999999</v>
      </c>
      <c r="Q454" s="18" t="n">
        <v>0.153097</v>
      </c>
    </row>
    <row r="455">
      <c r="A455" s="30" t="n">
        <v>4321402</v>
      </c>
      <c r="B455" s="5" t="inlineStr">
        <is>
          <t>Tenente Portela</t>
        </is>
      </c>
      <c r="C455" s="19">
        <f>N455</f>
        <v/>
      </c>
      <c r="D455" s="19">
        <f>O455</f>
        <v/>
      </c>
      <c r="E455" s="19">
        <f>P455</f>
        <v/>
      </c>
      <c r="F455" s="19">
        <f>Q455</f>
        <v/>
      </c>
      <c r="G455" s="19">
        <f>C455+D455+E455+F455</f>
        <v/>
      </c>
      <c r="H455" s="6" t="n">
        <v>0</v>
      </c>
      <c r="I455" s="31" t="n">
        <v>0</v>
      </c>
      <c r="J455" s="6" t="n">
        <v>180</v>
      </c>
      <c r="K455" s="12" t="n">
        <v>1.548</v>
      </c>
      <c r="L455" s="6" t="n">
        <v>284.9</v>
      </c>
      <c r="N455" s="18" t="n">
        <v>0.030124</v>
      </c>
      <c r="O455" s="18" t="n">
        <v>0</v>
      </c>
      <c r="P455" s="18" t="n">
        <v>0</v>
      </c>
      <c r="Q455" s="18" t="n">
        <v>0.052233</v>
      </c>
    </row>
    <row r="456">
      <c r="A456" s="30" t="n">
        <v>4321436</v>
      </c>
      <c r="B456" s="5" t="inlineStr">
        <is>
          <t>Terra de Areia</t>
        </is>
      </c>
      <c r="C456" s="19">
        <f>N456</f>
        <v/>
      </c>
      <c r="D456" s="19">
        <f>O456</f>
        <v/>
      </c>
      <c r="E456" s="19">
        <f>P456</f>
        <v/>
      </c>
      <c r="F456" s="19">
        <f>Q456</f>
        <v/>
      </c>
      <c r="G456" s="19">
        <f>C456+D456+E456+F456</f>
        <v/>
      </c>
      <c r="H456" s="6" t="n">
        <v>0</v>
      </c>
      <c r="I456" s="31" t="n">
        <v>0</v>
      </c>
      <c r="J456" s="6" t="n">
        <v>36</v>
      </c>
      <c r="K456" s="12" t="n">
        <v>0.31</v>
      </c>
      <c r="L456" s="6" t="n">
        <v>226.6</v>
      </c>
      <c r="N456" s="18" t="n">
        <v>0.006025</v>
      </c>
      <c r="O456" s="18" t="n">
        <v>0.160475</v>
      </c>
      <c r="P456" s="18" t="n">
        <v>0.169958</v>
      </c>
      <c r="Q456" s="18" t="n">
        <v>0.535106</v>
      </c>
    </row>
    <row r="457">
      <c r="A457" s="30" t="n">
        <v>4321451</v>
      </c>
      <c r="B457" s="5" t="inlineStr">
        <is>
          <t>Teutônia</t>
        </is>
      </c>
      <c r="C457" s="19">
        <f>N457</f>
        <v/>
      </c>
      <c r="D457" s="19">
        <f>O457</f>
        <v/>
      </c>
      <c r="E457" s="19">
        <f>P457</f>
        <v/>
      </c>
      <c r="F457" s="19">
        <f>Q457</f>
        <v/>
      </c>
      <c r="G457" s="19">
        <f>C457+D457+E457+F457</f>
        <v/>
      </c>
      <c r="H457" s="6" t="n">
        <v>0</v>
      </c>
      <c r="I457" s="31" t="n">
        <v>0</v>
      </c>
      <c r="J457" s="6" t="n">
        <v>0</v>
      </c>
      <c r="K457" s="12" t="n">
        <v>0</v>
      </c>
      <c r="L457" s="6" t="n">
        <v>63.9</v>
      </c>
      <c r="N457" s="18" t="n">
        <v>0</v>
      </c>
      <c r="O457" s="18" t="n">
        <v>3.372699</v>
      </c>
      <c r="P457" s="18" t="n">
        <v>1.891612</v>
      </c>
      <c r="Q457" s="18" t="n">
        <v>3.258902</v>
      </c>
    </row>
    <row r="458">
      <c r="A458" s="30" t="n">
        <v>4321469</v>
      </c>
      <c r="B458" s="5" t="inlineStr">
        <is>
          <t>Tio Hugo</t>
        </is>
      </c>
      <c r="C458" s="19">
        <f>N458</f>
        <v/>
      </c>
      <c r="D458" s="19">
        <f>O458</f>
        <v/>
      </c>
      <c r="E458" s="19">
        <f>P458</f>
        <v/>
      </c>
      <c r="F458" s="19">
        <f>Q458</f>
        <v/>
      </c>
      <c r="G458" s="19">
        <f>C458+D458+E458+F458</f>
        <v/>
      </c>
      <c r="H458" s="6" t="n">
        <v>0</v>
      </c>
      <c r="I458" s="31" t="n">
        <v>0</v>
      </c>
      <c r="J458" s="6" t="n">
        <v>0</v>
      </c>
      <c r="K458" s="12" t="n">
        <v>0</v>
      </c>
      <c r="L458" s="6" t="n">
        <v>119.5</v>
      </c>
      <c r="N458" s="18" t="n">
        <v>0</v>
      </c>
      <c r="O458" s="18" t="n">
        <v>0.203574</v>
      </c>
      <c r="P458" s="18" t="n">
        <v>0.312854</v>
      </c>
      <c r="Q458" s="18" t="n">
        <v>0.33404</v>
      </c>
    </row>
    <row r="459">
      <c r="A459" s="30" t="n">
        <v>4321477</v>
      </c>
      <c r="B459" s="5" t="inlineStr">
        <is>
          <t>Tiradentes do Sul</t>
        </is>
      </c>
      <c r="C459" s="19">
        <f>N459</f>
        <v/>
      </c>
      <c r="D459" s="19">
        <f>O459</f>
        <v/>
      </c>
      <c r="E459" s="19">
        <f>P459</f>
        <v/>
      </c>
      <c r="F459" s="19">
        <f>Q459</f>
        <v/>
      </c>
      <c r="G459" s="19">
        <f>C459+D459+E459+F459</f>
        <v/>
      </c>
      <c r="H459" s="6" t="n">
        <v>0</v>
      </c>
      <c r="I459" s="31" t="n">
        <v>0</v>
      </c>
      <c r="J459" s="6" t="n">
        <v>81</v>
      </c>
      <c r="K459" s="12" t="n">
        <v>0.697</v>
      </c>
      <c r="L459" s="6" t="n">
        <v>303.1</v>
      </c>
      <c r="N459" s="18" t="n">
        <v>0.013556</v>
      </c>
      <c r="O459" s="18" t="n">
        <v>0</v>
      </c>
      <c r="P459" s="18" t="n">
        <v>0</v>
      </c>
      <c r="Q459" s="18" t="n">
        <v>0.018688</v>
      </c>
    </row>
    <row r="460">
      <c r="A460" s="30" t="n">
        <v>4321493</v>
      </c>
      <c r="B460" s="5" t="inlineStr">
        <is>
          <t>Toropi</t>
        </is>
      </c>
      <c r="C460" s="19">
        <f>N460</f>
        <v/>
      </c>
      <c r="D460" s="19">
        <f>O460</f>
        <v/>
      </c>
      <c r="E460" s="19">
        <f>P460</f>
        <v/>
      </c>
      <c r="F460" s="19">
        <f>Q460</f>
        <v/>
      </c>
      <c r="G460" s="19">
        <f>C460+D460+E460+F460</f>
        <v/>
      </c>
      <c r="H460" s="6" t="n">
        <v>0</v>
      </c>
      <c r="I460" s="31" t="n">
        <v>0</v>
      </c>
      <c r="J460" s="6" t="n">
        <v>1086</v>
      </c>
      <c r="K460" s="12" t="n">
        <v>9.34</v>
      </c>
      <c r="L460" s="6" t="n">
        <v>184.2</v>
      </c>
      <c r="N460" s="18" t="n">
        <v>0.18175</v>
      </c>
      <c r="O460" s="18" t="n">
        <v>0.000387</v>
      </c>
      <c r="P460" s="18" t="n">
        <v>0.06376800000000001</v>
      </c>
      <c r="Q460" s="18" t="n">
        <v>0.040777</v>
      </c>
    </row>
    <row r="461">
      <c r="A461" s="30" t="n">
        <v>4321501</v>
      </c>
      <c r="B461" s="5" t="inlineStr">
        <is>
          <t>Torres</t>
        </is>
      </c>
      <c r="C461" s="19">
        <f>N461</f>
        <v/>
      </c>
      <c r="D461" s="19">
        <f>O461</f>
        <v/>
      </c>
      <c r="E461" s="19">
        <f>P461</f>
        <v/>
      </c>
      <c r="F461" s="19">
        <f>Q461</f>
        <v/>
      </c>
      <c r="G461" s="19">
        <f>C461+D461+E461+F461</f>
        <v/>
      </c>
      <c r="H461" s="6" t="n">
        <v>0</v>
      </c>
      <c r="I461" s="31" t="n">
        <v>0</v>
      </c>
      <c r="J461" s="6" t="n">
        <v>8</v>
      </c>
      <c r="K461" s="12" t="n">
        <v>0.06900000000000001</v>
      </c>
      <c r="L461" s="6" t="n">
        <v>254.2</v>
      </c>
      <c r="N461" s="18" t="n">
        <v>0.001339</v>
      </c>
      <c r="O461" s="18" t="n">
        <v>0.2961</v>
      </c>
      <c r="P461" s="18" t="n">
        <v>0.315794</v>
      </c>
      <c r="Q461" s="18" t="n">
        <v>0.6530860000000001</v>
      </c>
    </row>
    <row r="462">
      <c r="A462" s="30" t="n">
        <v>4321600</v>
      </c>
      <c r="B462" s="5" t="inlineStr">
        <is>
          <t>Tramandaí</t>
        </is>
      </c>
      <c r="C462" s="19">
        <f>N462</f>
        <v/>
      </c>
      <c r="D462" s="19">
        <f>O462</f>
        <v/>
      </c>
      <c r="E462" s="19">
        <f>P462</f>
        <v/>
      </c>
      <c r="F462" s="19">
        <f>Q462</f>
        <v/>
      </c>
      <c r="G462" s="19">
        <f>C462+D462+E462+F462</f>
        <v/>
      </c>
      <c r="H462" s="6" t="n">
        <v>0</v>
      </c>
      <c r="I462" s="31" t="n">
        <v>0</v>
      </c>
      <c r="J462" s="6" t="n">
        <v>0</v>
      </c>
      <c r="K462" s="12" t="n">
        <v>0</v>
      </c>
      <c r="L462" s="6" t="n">
        <v>215.2</v>
      </c>
      <c r="N462" s="18" t="n">
        <v>0</v>
      </c>
      <c r="O462" s="18" t="n">
        <v>0.433893</v>
      </c>
      <c r="P462" s="18" t="n">
        <v>0.456057</v>
      </c>
      <c r="Q462" s="18" t="n">
        <v>1.39047</v>
      </c>
    </row>
    <row r="463">
      <c r="A463" s="30" t="n">
        <v>4321626</v>
      </c>
      <c r="B463" s="5" t="inlineStr">
        <is>
          <t>Travesseiro</t>
        </is>
      </c>
      <c r="C463" s="19">
        <f>N463</f>
        <v/>
      </c>
      <c r="D463" s="19">
        <f>O463</f>
        <v/>
      </c>
      <c r="E463" s="19">
        <f>P463</f>
        <v/>
      </c>
      <c r="F463" s="19">
        <f>Q463</f>
        <v/>
      </c>
      <c r="G463" s="19">
        <f>C463+D463+E463+F463</f>
        <v/>
      </c>
      <c r="H463" s="6" t="n">
        <v>0</v>
      </c>
      <c r="I463" s="31" t="n">
        <v>0</v>
      </c>
      <c r="J463" s="6" t="n">
        <v>0</v>
      </c>
      <c r="K463" s="12" t="n">
        <v>0</v>
      </c>
      <c r="L463" s="6" t="n">
        <v>50.8</v>
      </c>
      <c r="N463" s="18" t="n">
        <v>0</v>
      </c>
      <c r="O463" s="18" t="n">
        <v>0.656507</v>
      </c>
      <c r="P463" s="18" t="n">
        <v>0.236332</v>
      </c>
      <c r="Q463" s="18" t="n">
        <v>0.724104</v>
      </c>
    </row>
    <row r="464">
      <c r="A464" s="30" t="n">
        <v>4321634</v>
      </c>
      <c r="B464" s="5" t="inlineStr">
        <is>
          <t>Três Arroios</t>
        </is>
      </c>
      <c r="C464" s="19">
        <f>N464</f>
        <v/>
      </c>
      <c r="D464" s="19">
        <f>O464</f>
        <v/>
      </c>
      <c r="E464" s="19">
        <f>P464</f>
        <v/>
      </c>
      <c r="F464" s="19">
        <f>Q464</f>
        <v/>
      </c>
      <c r="G464" s="19">
        <f>C464+D464+E464+F464</f>
        <v/>
      </c>
      <c r="H464" s="6" t="n">
        <v>0</v>
      </c>
      <c r="I464" s="31" t="n">
        <v>0</v>
      </c>
      <c r="J464" s="6" t="n">
        <v>25</v>
      </c>
      <c r="K464" s="12" t="n">
        <v>0.215</v>
      </c>
      <c r="L464" s="6" t="n">
        <v>239.8</v>
      </c>
      <c r="N464" s="18" t="n">
        <v>0.004184</v>
      </c>
      <c r="O464" s="18" t="n">
        <v>0.385067</v>
      </c>
      <c r="P464" s="18" t="n">
        <v>0.059011</v>
      </c>
      <c r="Q464" s="18" t="n">
        <v>0.059107</v>
      </c>
    </row>
    <row r="465">
      <c r="A465" s="30" t="n">
        <v>4321667</v>
      </c>
      <c r="B465" s="5" t="inlineStr">
        <is>
          <t>Três Cachoeiras</t>
        </is>
      </c>
      <c r="C465" s="19">
        <f>N465</f>
        <v/>
      </c>
      <c r="D465" s="19">
        <f>O465</f>
        <v/>
      </c>
      <c r="E465" s="19">
        <f>P465</f>
        <v/>
      </c>
      <c r="F465" s="19">
        <f>Q465</f>
        <v/>
      </c>
      <c r="G465" s="19">
        <f>C465+D465+E465+F465</f>
        <v/>
      </c>
      <c r="H465" s="6" t="n">
        <v>0</v>
      </c>
      <c r="I465" s="31" t="n">
        <v>0</v>
      </c>
      <c r="J465" s="6" t="n">
        <v>0</v>
      </c>
      <c r="K465" s="12" t="n">
        <v>0</v>
      </c>
      <c r="L465" s="6" t="n">
        <v>237.4</v>
      </c>
      <c r="N465" s="18" t="n">
        <v>0</v>
      </c>
      <c r="O465" s="18" t="n">
        <v>0.331948</v>
      </c>
      <c r="P465" s="18" t="n">
        <v>0.179622</v>
      </c>
      <c r="Q465" s="18" t="n">
        <v>0.462411</v>
      </c>
    </row>
    <row r="466">
      <c r="A466" s="30" t="n">
        <v>4321709</v>
      </c>
      <c r="B466" s="5" t="inlineStr">
        <is>
          <t>Três Coroas</t>
        </is>
      </c>
      <c r="C466" s="19">
        <f>N466</f>
        <v/>
      </c>
      <c r="D466" s="19">
        <f>O466</f>
        <v/>
      </c>
      <c r="E466" s="19">
        <f>P466</f>
        <v/>
      </c>
      <c r="F466" s="19">
        <f>Q466</f>
        <v/>
      </c>
      <c r="G466" s="19">
        <f>C466+D466+E466+F466</f>
        <v/>
      </c>
      <c r="H466" s="6" t="n">
        <v>0</v>
      </c>
      <c r="I466" s="31" t="n">
        <v>0</v>
      </c>
      <c r="J466" s="6" t="n">
        <v>2</v>
      </c>
      <c r="K466" s="12" t="n">
        <v>0.017</v>
      </c>
      <c r="L466" s="6" t="n">
        <v>158.7</v>
      </c>
      <c r="N466" s="18" t="n">
        <v>0.000335</v>
      </c>
      <c r="O466" s="18" t="n">
        <v>1.485768</v>
      </c>
      <c r="P466" s="18" t="n">
        <v>0.456273</v>
      </c>
      <c r="Q466" s="18" t="n">
        <v>1.977937</v>
      </c>
    </row>
    <row r="467">
      <c r="A467" s="30" t="n">
        <v>4321808</v>
      </c>
      <c r="B467" s="5" t="inlineStr">
        <is>
          <t>Três de Maio</t>
        </is>
      </c>
      <c r="C467" s="19">
        <f>N467</f>
        <v/>
      </c>
      <c r="D467" s="19">
        <f>O467</f>
        <v/>
      </c>
      <c r="E467" s="19">
        <f>P467</f>
        <v/>
      </c>
      <c r="F467" s="19">
        <f>Q467</f>
        <v/>
      </c>
      <c r="G467" s="19">
        <f>C467+D467+E467+F467</f>
        <v/>
      </c>
      <c r="H467" s="6" t="n">
        <v>0</v>
      </c>
      <c r="I467" s="31" t="n">
        <v>0</v>
      </c>
      <c r="J467" s="6" t="n">
        <v>0</v>
      </c>
      <c r="K467" s="12" t="n">
        <v>0</v>
      </c>
      <c r="L467" s="6" t="n">
        <v>279.3</v>
      </c>
      <c r="N467" s="18" t="n">
        <v>0</v>
      </c>
      <c r="O467" s="18" t="n">
        <v>0</v>
      </c>
      <c r="P467" s="18" t="n">
        <v>0</v>
      </c>
      <c r="Q467" s="18" t="n">
        <v>0.053025</v>
      </c>
    </row>
    <row r="468">
      <c r="A468" s="30" t="n">
        <v>4321832</v>
      </c>
      <c r="B468" s="5" t="inlineStr">
        <is>
          <t>Três Forquilhas</t>
        </is>
      </c>
      <c r="C468" s="19">
        <f>N468</f>
        <v/>
      </c>
      <c r="D468" s="19">
        <f>O468</f>
        <v/>
      </c>
      <c r="E468" s="19">
        <f>P468</f>
        <v/>
      </c>
      <c r="F468" s="19">
        <f>Q468</f>
        <v/>
      </c>
      <c r="G468" s="19">
        <f>C468+D468+E468+F468</f>
        <v/>
      </c>
      <c r="H468" s="6" t="n">
        <v>0</v>
      </c>
      <c r="I468" s="31" t="n">
        <v>0</v>
      </c>
      <c r="J468" s="6" t="n">
        <v>0</v>
      </c>
      <c r="K468" s="12" t="n">
        <v>0</v>
      </c>
      <c r="L468" s="6" t="n">
        <v>226.2</v>
      </c>
      <c r="N468" s="18" t="n">
        <v>0</v>
      </c>
      <c r="O468" s="18" t="n">
        <v>0.016522</v>
      </c>
      <c r="P468" s="18" t="n">
        <v>0.038511</v>
      </c>
      <c r="Q468" s="18" t="n">
        <v>0.272197</v>
      </c>
    </row>
    <row r="469">
      <c r="A469" s="30" t="n">
        <v>4321857</v>
      </c>
      <c r="B469" s="5" t="inlineStr">
        <is>
          <t>Três Palmeiras</t>
        </is>
      </c>
      <c r="C469" s="19">
        <f>N469</f>
        <v/>
      </c>
      <c r="D469" s="19">
        <f>O469</f>
        <v/>
      </c>
      <c r="E469" s="19">
        <f>P469</f>
        <v/>
      </c>
      <c r="F469" s="19">
        <f>Q469</f>
        <v/>
      </c>
      <c r="G469" s="19">
        <f>C469+D469+E469+F469</f>
        <v/>
      </c>
      <c r="H469" s="6" t="n">
        <v>0</v>
      </c>
      <c r="I469" s="31" t="n">
        <v>0</v>
      </c>
      <c r="J469" s="6" t="n">
        <v>0</v>
      </c>
      <c r="K469" s="12" t="n">
        <v>0</v>
      </c>
      <c r="L469" s="6" t="n">
        <v>228.8</v>
      </c>
      <c r="N469" s="18" t="n">
        <v>0</v>
      </c>
      <c r="O469" s="18" t="n">
        <v>0.056894</v>
      </c>
      <c r="P469" s="18" t="n">
        <v>0.083288</v>
      </c>
      <c r="Q469" s="18" t="n">
        <v>0.079495</v>
      </c>
    </row>
    <row r="470">
      <c r="A470" s="30" t="n">
        <v>4321907</v>
      </c>
      <c r="B470" s="5" t="inlineStr">
        <is>
          <t>Três Passos</t>
        </is>
      </c>
      <c r="C470" s="19">
        <f>N470</f>
        <v/>
      </c>
      <c r="D470" s="19">
        <f>O470</f>
        <v/>
      </c>
      <c r="E470" s="19">
        <f>P470</f>
        <v/>
      </c>
      <c r="F470" s="19">
        <f>Q470</f>
        <v/>
      </c>
      <c r="G470" s="19">
        <f>C470+D470+E470+F470</f>
        <v/>
      </c>
      <c r="H470" s="6" t="n">
        <v>0</v>
      </c>
      <c r="I470" s="31" t="n">
        <v>0</v>
      </c>
      <c r="J470" s="6" t="n">
        <v>840</v>
      </c>
      <c r="K470" s="12" t="n">
        <v>7.224</v>
      </c>
      <c r="L470" s="6" t="n">
        <v>286.2</v>
      </c>
      <c r="N470" s="18" t="n">
        <v>0.14058</v>
      </c>
      <c r="O470" s="18" t="n">
        <v>0</v>
      </c>
      <c r="P470" s="18" t="n">
        <v>0</v>
      </c>
      <c r="Q470" s="18" t="n">
        <v>0.065844</v>
      </c>
    </row>
    <row r="471">
      <c r="A471" s="30" t="n">
        <v>4321956</v>
      </c>
      <c r="B471" s="5" t="inlineStr">
        <is>
          <t>Trindade do Sul</t>
        </is>
      </c>
      <c r="C471" s="19">
        <f>N471</f>
        <v/>
      </c>
      <c r="D471" s="19">
        <f>O471</f>
        <v/>
      </c>
      <c r="E471" s="19">
        <f>P471</f>
        <v/>
      </c>
      <c r="F471" s="19">
        <f>Q471</f>
        <v/>
      </c>
      <c r="G471" s="19">
        <f>C471+D471+E471+F471</f>
        <v/>
      </c>
      <c r="H471" s="6" t="n">
        <v>0</v>
      </c>
      <c r="I471" s="31" t="n">
        <v>0</v>
      </c>
      <c r="J471" s="6" t="n">
        <v>28</v>
      </c>
      <c r="K471" s="12" t="n">
        <v>0.241</v>
      </c>
      <c r="L471" s="6" t="n">
        <v>239.7</v>
      </c>
      <c r="N471" s="18" t="n">
        <v>0.004686</v>
      </c>
      <c r="O471" s="18" t="n">
        <v>0.225867</v>
      </c>
      <c r="P471" s="18" t="n">
        <v>0.092985</v>
      </c>
      <c r="Q471" s="18" t="n">
        <v>0.086856</v>
      </c>
    </row>
    <row r="472">
      <c r="A472" s="30" t="n">
        <v>4322004</v>
      </c>
      <c r="B472" s="5" t="inlineStr">
        <is>
          <t>Triunfo</t>
        </is>
      </c>
      <c r="C472" s="19">
        <f>N472</f>
        <v/>
      </c>
      <c r="D472" s="19">
        <f>O472</f>
        <v/>
      </c>
      <c r="E472" s="19">
        <f>P472</f>
        <v/>
      </c>
      <c r="F472" s="19">
        <f>Q472</f>
        <v/>
      </c>
      <c r="G472" s="19">
        <f>C472+D472+E472+F472</f>
        <v/>
      </c>
      <c r="H472" s="6" t="n">
        <v>0</v>
      </c>
      <c r="I472" s="31" t="n">
        <v>0</v>
      </c>
      <c r="J472" s="6" t="n">
        <v>0</v>
      </c>
      <c r="K472" s="12" t="n">
        <v>0</v>
      </c>
      <c r="L472" s="6" t="n">
        <v>83.7</v>
      </c>
      <c r="N472" s="18" t="n">
        <v>0</v>
      </c>
      <c r="O472" s="18" t="n">
        <v>3.769703</v>
      </c>
      <c r="P472" s="18" t="n">
        <v>1.570024</v>
      </c>
      <c r="Q472" s="18" t="n">
        <v>2.800445</v>
      </c>
    </row>
    <row r="473">
      <c r="A473" s="30" t="n">
        <v>4322103</v>
      </c>
      <c r="B473" s="5" t="inlineStr">
        <is>
          <t>Tucunduva</t>
        </is>
      </c>
      <c r="C473" s="19">
        <f>N473</f>
        <v/>
      </c>
      <c r="D473" s="19">
        <f>O473</f>
        <v/>
      </c>
      <c r="E473" s="19">
        <f>P473</f>
        <v/>
      </c>
      <c r="F473" s="19">
        <f>Q473</f>
        <v/>
      </c>
      <c r="G473" s="19">
        <f>C473+D473+E473+F473</f>
        <v/>
      </c>
      <c r="H473" s="6" t="n">
        <v>0</v>
      </c>
      <c r="I473" s="31" t="n">
        <v>0</v>
      </c>
      <c r="J473" s="6" t="n">
        <v>16</v>
      </c>
      <c r="K473" s="12" t="n">
        <v>0.138</v>
      </c>
      <c r="L473" s="6" t="n">
        <v>297.7</v>
      </c>
      <c r="N473" s="18" t="n">
        <v>0.002678</v>
      </c>
      <c r="O473" s="18" t="n">
        <v>0</v>
      </c>
      <c r="P473" s="18" t="n">
        <v>0</v>
      </c>
      <c r="Q473" s="18" t="n">
        <v>0.018471</v>
      </c>
    </row>
    <row r="474">
      <c r="A474" s="30" t="n">
        <v>4322152</v>
      </c>
      <c r="B474" s="5" t="inlineStr">
        <is>
          <t>Tunas</t>
        </is>
      </c>
      <c r="C474" s="19">
        <f>N474</f>
        <v/>
      </c>
      <c r="D474" s="19">
        <f>O474</f>
        <v/>
      </c>
      <c r="E474" s="19">
        <f>P474</f>
        <v/>
      </c>
      <c r="F474" s="19">
        <f>Q474</f>
        <v/>
      </c>
      <c r="G474" s="19">
        <f>C474+D474+E474+F474</f>
        <v/>
      </c>
      <c r="H474" s="6" t="n">
        <v>0</v>
      </c>
      <c r="I474" s="31" t="n">
        <v>1</v>
      </c>
      <c r="J474" s="6" t="n">
        <v>2800</v>
      </c>
      <c r="K474" s="12" t="n">
        <v>24.08</v>
      </c>
      <c r="L474" s="6" t="n">
        <v>75.5</v>
      </c>
      <c r="N474" s="18" t="n">
        <v>0.468601</v>
      </c>
      <c r="O474" s="18" t="n">
        <v>0.003767</v>
      </c>
      <c r="P474" s="18" t="n">
        <v>0.238401</v>
      </c>
      <c r="Q474" s="18" t="n">
        <v>0.438046</v>
      </c>
    </row>
    <row r="475">
      <c r="A475" s="30" t="n">
        <v>4322186</v>
      </c>
      <c r="B475" s="5" t="inlineStr">
        <is>
          <t>Tupanci do Sul</t>
        </is>
      </c>
      <c r="C475" s="19">
        <f>N475</f>
        <v/>
      </c>
      <c r="D475" s="19">
        <f>O475</f>
        <v/>
      </c>
      <c r="E475" s="19">
        <f>P475</f>
        <v/>
      </c>
      <c r="F475" s="19">
        <f>Q475</f>
        <v/>
      </c>
      <c r="G475" s="19">
        <f>C475+D475+E475+F475</f>
        <v/>
      </c>
      <c r="H475" s="6" t="n">
        <v>0</v>
      </c>
      <c r="I475" s="31" t="n">
        <v>0</v>
      </c>
      <c r="J475" s="6" t="n">
        <v>0</v>
      </c>
      <c r="K475" s="12" t="n">
        <v>0</v>
      </c>
      <c r="L475" s="6" t="n">
        <v>208.3</v>
      </c>
      <c r="N475" s="18" t="n">
        <v>0</v>
      </c>
      <c r="O475" s="18" t="n">
        <v>0.028696</v>
      </c>
      <c r="P475" s="18" t="n">
        <v>0.039825</v>
      </c>
      <c r="Q475" s="18" t="n">
        <v>0.09295100000000001</v>
      </c>
    </row>
    <row r="476">
      <c r="A476" s="30" t="n">
        <v>4322202</v>
      </c>
      <c r="B476" s="5" t="inlineStr">
        <is>
          <t>Tupanciretã</t>
        </is>
      </c>
      <c r="C476" s="19">
        <f>N476</f>
        <v/>
      </c>
      <c r="D476" s="19">
        <f>O476</f>
        <v/>
      </c>
      <c r="E476" s="19">
        <f>P476</f>
        <v/>
      </c>
      <c r="F476" s="19">
        <f>Q476</f>
        <v/>
      </c>
      <c r="G476" s="19">
        <f>C476+D476+E476+F476</f>
        <v/>
      </c>
      <c r="H476" s="6" t="n">
        <v>0</v>
      </c>
      <c r="I476" s="31" t="n">
        <v>0</v>
      </c>
      <c r="J476" s="6" t="n">
        <v>103</v>
      </c>
      <c r="K476" s="12" t="n">
        <v>0.886</v>
      </c>
      <c r="L476" s="6" t="n">
        <v>169.7</v>
      </c>
      <c r="N476" s="18" t="n">
        <v>0.017238</v>
      </c>
      <c r="O476" s="18" t="n">
        <v>0.113392</v>
      </c>
      <c r="P476" s="18" t="n">
        <v>0.399589</v>
      </c>
      <c r="Q476" s="18" t="n">
        <v>0.233848</v>
      </c>
    </row>
    <row r="477">
      <c r="A477" s="30" t="n">
        <v>4322251</v>
      </c>
      <c r="B477" s="5" t="inlineStr">
        <is>
          <t>Tupandi</t>
        </is>
      </c>
      <c r="C477" s="19">
        <f>N477</f>
        <v/>
      </c>
      <c r="D477" s="19">
        <f>O477</f>
        <v/>
      </c>
      <c r="E477" s="19">
        <f>P477</f>
        <v/>
      </c>
      <c r="F477" s="19">
        <f>Q477</f>
        <v/>
      </c>
      <c r="G477" s="19">
        <f>C477+D477+E477+F477</f>
        <v/>
      </c>
      <c r="H477" s="6" t="n">
        <v>0</v>
      </c>
      <c r="I477" s="31" t="n">
        <v>0</v>
      </c>
      <c r="J477" s="6" t="n">
        <v>0</v>
      </c>
      <c r="K477" s="12" t="n">
        <v>0</v>
      </c>
      <c r="L477" s="6" t="n">
        <v>96.8</v>
      </c>
      <c r="N477" s="18" t="n">
        <v>0</v>
      </c>
      <c r="O477" s="18" t="n">
        <v>2.246805</v>
      </c>
      <c r="P477" s="18" t="n">
        <v>0.430392</v>
      </c>
      <c r="Q477" s="18" t="n">
        <v>1.21363</v>
      </c>
    </row>
    <row r="478">
      <c r="A478" s="30" t="n">
        <v>4322301</v>
      </c>
      <c r="B478" s="5" t="inlineStr">
        <is>
          <t>Tuparendi</t>
        </is>
      </c>
      <c r="C478" s="19">
        <f>N478</f>
        <v/>
      </c>
      <c r="D478" s="19">
        <f>O478</f>
        <v/>
      </c>
      <c r="E478" s="19">
        <f>P478</f>
        <v/>
      </c>
      <c r="F478" s="19">
        <f>Q478</f>
        <v/>
      </c>
      <c r="G478" s="19">
        <f>C478+D478+E478+F478</f>
        <v/>
      </c>
      <c r="H478" s="6" t="n">
        <v>0</v>
      </c>
      <c r="I478" s="31" t="n">
        <v>0</v>
      </c>
      <c r="J478" s="6" t="n">
        <v>6</v>
      </c>
      <c r="K478" s="12" t="n">
        <v>0.052</v>
      </c>
      <c r="L478" s="6" t="n">
        <v>300.4</v>
      </c>
      <c r="N478" s="18" t="n">
        <v>0.001004</v>
      </c>
      <c r="O478" s="18" t="n">
        <v>0</v>
      </c>
      <c r="P478" s="18" t="n">
        <v>0</v>
      </c>
      <c r="Q478" s="18" t="n">
        <v>0.021118</v>
      </c>
    </row>
    <row r="479">
      <c r="A479" s="30" t="n">
        <v>4322327</v>
      </c>
      <c r="B479" s="5" t="inlineStr">
        <is>
          <t>Turuçu</t>
        </is>
      </c>
      <c r="C479" s="19">
        <f>N479</f>
        <v/>
      </c>
      <c r="D479" s="19">
        <f>O479</f>
        <v/>
      </c>
      <c r="E479" s="19">
        <f>P479</f>
        <v/>
      </c>
      <c r="F479" s="19">
        <f>Q479</f>
        <v/>
      </c>
      <c r="G479" s="19">
        <f>C479+D479+E479+F479</f>
        <v/>
      </c>
      <c r="H479" s="6" t="n">
        <v>0</v>
      </c>
      <c r="I479" s="31" t="n">
        <v>0</v>
      </c>
      <c r="J479" s="6" t="n">
        <v>1344</v>
      </c>
      <c r="K479" s="12" t="n">
        <v>11.558</v>
      </c>
      <c r="L479" s="6" t="n">
        <v>204.4</v>
      </c>
      <c r="N479" s="18" t="n">
        <v>0.224929</v>
      </c>
      <c r="O479" s="18" t="n">
        <v>0.03664</v>
      </c>
      <c r="P479" s="18" t="n">
        <v>0.0575</v>
      </c>
      <c r="Q479" s="18" t="n">
        <v>0.054535</v>
      </c>
    </row>
    <row r="480">
      <c r="A480" s="30" t="n">
        <v>4322343</v>
      </c>
      <c r="B480" s="5" t="inlineStr">
        <is>
          <t>Ubiretama</t>
        </is>
      </c>
      <c r="C480" s="19">
        <f>N480</f>
        <v/>
      </c>
      <c r="D480" s="19">
        <f>O480</f>
        <v/>
      </c>
      <c r="E480" s="19">
        <f>P480</f>
        <v/>
      </c>
      <c r="F480" s="19">
        <f>Q480</f>
        <v/>
      </c>
      <c r="G480" s="19">
        <f>C480+D480+E480+F480</f>
        <v/>
      </c>
      <c r="H480" s="6" t="n">
        <v>0</v>
      </c>
      <c r="I480" s="31" t="n">
        <v>0</v>
      </c>
      <c r="J480" s="6" t="n">
        <v>0</v>
      </c>
      <c r="K480" s="12" t="n">
        <v>0</v>
      </c>
      <c r="L480" s="6" t="n">
        <v>281.9</v>
      </c>
      <c r="N480" s="18" t="n">
        <v>0</v>
      </c>
      <c r="O480" s="18" t="n">
        <v>0</v>
      </c>
      <c r="P480" s="18" t="n">
        <v>0</v>
      </c>
      <c r="Q480" s="18" t="n">
        <v>0.012078</v>
      </c>
    </row>
    <row r="481">
      <c r="A481" s="30" t="n">
        <v>4322350</v>
      </c>
      <c r="B481" s="5" t="inlineStr">
        <is>
          <t>União da Serra</t>
        </is>
      </c>
      <c r="C481" s="19">
        <f>N481</f>
        <v/>
      </c>
      <c r="D481" s="19">
        <f>O481</f>
        <v/>
      </c>
      <c r="E481" s="19">
        <f>P481</f>
        <v/>
      </c>
      <c r="F481" s="19">
        <f>Q481</f>
        <v/>
      </c>
      <c r="G481" s="19">
        <f>C481+D481+E481+F481</f>
        <v/>
      </c>
      <c r="H481" s="6" t="n">
        <v>0</v>
      </c>
      <c r="I481" s="31" t="n">
        <v>0</v>
      </c>
      <c r="J481" s="6" t="n">
        <v>15</v>
      </c>
      <c r="K481" s="12" t="n">
        <v>0.129</v>
      </c>
      <c r="L481" s="6" t="n">
        <v>103.9</v>
      </c>
      <c r="N481" s="18" t="n">
        <v>0.00251</v>
      </c>
      <c r="O481" s="18" t="n">
        <v>0.149224</v>
      </c>
      <c r="P481" s="18" t="n">
        <v>0.097202</v>
      </c>
      <c r="Q481" s="18" t="n">
        <v>0.350952</v>
      </c>
    </row>
    <row r="482">
      <c r="A482" s="30" t="n">
        <v>4322376</v>
      </c>
      <c r="B482" s="5" t="inlineStr">
        <is>
          <t>Unistalda</t>
        </is>
      </c>
      <c r="C482" s="19">
        <f>N482</f>
        <v/>
      </c>
      <c r="D482" s="19">
        <f>O482</f>
        <v/>
      </c>
      <c r="E482" s="19">
        <f>P482</f>
        <v/>
      </c>
      <c r="F482" s="19">
        <f>Q482</f>
        <v/>
      </c>
      <c r="G482" s="19">
        <f>C482+D482+E482+F482</f>
        <v/>
      </c>
      <c r="H482" s="6" t="n">
        <v>0</v>
      </c>
      <c r="I482" s="31" t="n">
        <v>0</v>
      </c>
      <c r="J482" s="6" t="n">
        <v>0</v>
      </c>
      <c r="K482" s="12" t="n">
        <v>0</v>
      </c>
      <c r="L482" s="6" t="n">
        <v>274.6</v>
      </c>
      <c r="N482" s="18" t="n">
        <v>0</v>
      </c>
      <c r="O482" s="18" t="n">
        <v>0</v>
      </c>
      <c r="P482" s="18" t="n">
        <v>0</v>
      </c>
      <c r="Q482" s="18" t="n">
        <v>0.007509</v>
      </c>
    </row>
    <row r="483">
      <c r="A483" s="30" t="n">
        <v>4322400</v>
      </c>
      <c r="B483" s="5" t="inlineStr">
        <is>
          <t>Uruguaiana</t>
        </is>
      </c>
      <c r="C483" s="19">
        <f>N483</f>
        <v/>
      </c>
      <c r="D483" s="19">
        <f>O483</f>
        <v/>
      </c>
      <c r="E483" s="19">
        <f>P483</f>
        <v/>
      </c>
      <c r="F483" s="19">
        <f>Q483</f>
        <v/>
      </c>
      <c r="G483" s="19">
        <f>C483+D483+E483+F483</f>
        <v/>
      </c>
      <c r="H483" s="6" t="n">
        <v>0</v>
      </c>
      <c r="I483" s="31" t="n">
        <v>0</v>
      </c>
      <c r="J483" s="6" t="n">
        <v>0</v>
      </c>
      <c r="K483" s="12" t="n">
        <v>0</v>
      </c>
      <c r="L483" s="6" t="n">
        <v>418.3</v>
      </c>
      <c r="N483" s="18" t="n">
        <v>0</v>
      </c>
      <c r="O483" s="18" t="n">
        <v>0</v>
      </c>
      <c r="P483" s="18" t="n">
        <v>0</v>
      </c>
      <c r="Q483" s="18" t="n">
        <v>0.000228</v>
      </c>
    </row>
    <row r="484">
      <c r="A484" s="30" t="n">
        <v>4322509</v>
      </c>
      <c r="B484" s="5" t="inlineStr">
        <is>
          <t>Vacaria</t>
        </is>
      </c>
      <c r="C484" s="19">
        <f>N484</f>
        <v/>
      </c>
      <c r="D484" s="19">
        <f>O484</f>
        <v/>
      </c>
      <c r="E484" s="19">
        <f>P484</f>
        <v/>
      </c>
      <c r="F484" s="19">
        <f>Q484</f>
        <v/>
      </c>
      <c r="G484" s="19">
        <f>C484+D484+E484+F484</f>
        <v/>
      </c>
      <c r="H484" s="6" t="n">
        <v>0</v>
      </c>
      <c r="I484" s="31" t="n">
        <v>0</v>
      </c>
      <c r="J484" s="6" t="n">
        <v>0</v>
      </c>
      <c r="K484" s="12" t="n">
        <v>0</v>
      </c>
      <c r="L484" s="6" t="n">
        <v>202.2</v>
      </c>
      <c r="N484" s="18" t="n">
        <v>0</v>
      </c>
      <c r="O484" s="18" t="n">
        <v>0.788535</v>
      </c>
      <c r="P484" s="18" t="n">
        <v>0.584573</v>
      </c>
      <c r="Q484" s="18" t="n">
        <v>1.109528</v>
      </c>
    </row>
    <row r="485">
      <c r="A485" s="30" t="n">
        <v>4322525</v>
      </c>
      <c r="B485" s="5" t="inlineStr">
        <is>
          <t>Vale Verde</t>
        </is>
      </c>
      <c r="C485" s="19">
        <f>N485</f>
        <v/>
      </c>
      <c r="D485" s="19">
        <f>O485</f>
        <v/>
      </c>
      <c r="E485" s="19">
        <f>P485</f>
        <v/>
      </c>
      <c r="F485" s="19">
        <f>Q485</f>
        <v/>
      </c>
      <c r="G485" s="19">
        <f>C485+D485+E485+F485</f>
        <v/>
      </c>
      <c r="H485" s="6" t="n">
        <v>0</v>
      </c>
      <c r="I485" s="31" t="n">
        <v>1</v>
      </c>
      <c r="J485" s="6" t="n">
        <v>1920</v>
      </c>
      <c r="K485" s="12" t="n">
        <v>16.512</v>
      </c>
      <c r="L485" s="6" t="n">
        <v>35.1</v>
      </c>
      <c r="N485" s="18" t="n">
        <v>0.321327</v>
      </c>
      <c r="O485" s="18" t="n">
        <v>0.329318</v>
      </c>
      <c r="P485" s="18" t="n">
        <v>0.356408</v>
      </c>
      <c r="Q485" s="18" t="n">
        <v>0.918161</v>
      </c>
    </row>
    <row r="486">
      <c r="A486" s="30" t="n">
        <v>4322533</v>
      </c>
      <c r="B486" s="5" t="inlineStr">
        <is>
          <t>Vale do Sol</t>
        </is>
      </c>
      <c r="C486" s="19">
        <f>N486</f>
        <v/>
      </c>
      <c r="D486" s="19">
        <f>O486</f>
        <v/>
      </c>
      <c r="E486" s="19">
        <f>P486</f>
        <v/>
      </c>
      <c r="F486" s="19">
        <f>Q486</f>
        <v/>
      </c>
      <c r="G486" s="19">
        <f>C486+D486+E486+F486</f>
        <v/>
      </c>
      <c r="H486" s="6" t="n">
        <v>0</v>
      </c>
      <c r="I486" s="31" t="n">
        <v>1</v>
      </c>
      <c r="J486" s="6" t="n">
        <v>12974</v>
      </c>
      <c r="K486" s="12" t="n">
        <v>111.576</v>
      </c>
      <c r="L486" s="6" t="n">
        <v>28.2</v>
      </c>
      <c r="N486" s="18" t="n">
        <v>2.171297</v>
      </c>
      <c r="O486" s="18" t="n">
        <v>0.412765</v>
      </c>
      <c r="P486" s="18" t="n">
        <v>1.266103</v>
      </c>
      <c r="Q486" s="18" t="n">
        <v>1.923218</v>
      </c>
    </row>
    <row r="487">
      <c r="A487" s="30" t="n">
        <v>4322541</v>
      </c>
      <c r="B487" s="5" t="inlineStr">
        <is>
          <t>Vale Real</t>
        </is>
      </c>
      <c r="C487" s="19">
        <f>N487</f>
        <v/>
      </c>
      <c r="D487" s="19">
        <f>O487</f>
        <v/>
      </c>
      <c r="E487" s="19">
        <f>P487</f>
        <v/>
      </c>
      <c r="F487" s="19">
        <f>Q487</f>
        <v/>
      </c>
      <c r="G487" s="19">
        <f>C487+D487+E487+F487</f>
        <v/>
      </c>
      <c r="H487" s="6" t="n">
        <v>0</v>
      </c>
      <c r="I487" s="31" t="n">
        <v>0</v>
      </c>
      <c r="J487" s="6" t="n">
        <v>0</v>
      </c>
      <c r="K487" s="12" t="n">
        <v>0</v>
      </c>
      <c r="L487" s="6" t="n">
        <v>116.6</v>
      </c>
      <c r="N487" s="18" t="n">
        <v>0</v>
      </c>
      <c r="O487" s="18" t="n">
        <v>0.648302</v>
      </c>
      <c r="P487" s="18" t="n">
        <v>0.281722</v>
      </c>
      <c r="Q487" s="18" t="n">
        <v>1.231881</v>
      </c>
    </row>
    <row r="488">
      <c r="A488" s="30" t="n">
        <v>4322558</v>
      </c>
      <c r="B488" s="5" t="inlineStr">
        <is>
          <t>Vanini</t>
        </is>
      </c>
      <c r="C488" s="19">
        <f>N488</f>
        <v/>
      </c>
      <c r="D488" s="19">
        <f>O488</f>
        <v/>
      </c>
      <c r="E488" s="19">
        <f>P488</f>
        <v/>
      </c>
      <c r="F488" s="19">
        <f>Q488</f>
        <v/>
      </c>
      <c r="G488" s="19">
        <f>C488+D488+E488+F488</f>
        <v/>
      </c>
      <c r="H488" s="6" t="n">
        <v>0</v>
      </c>
      <c r="I488" s="31" t="n">
        <v>0</v>
      </c>
      <c r="J488" s="6" t="n">
        <v>330</v>
      </c>
      <c r="K488" s="12" t="n">
        <v>2.838</v>
      </c>
      <c r="L488" s="6" t="n">
        <v>139.7</v>
      </c>
      <c r="N488" s="18" t="n">
        <v>0.055228</v>
      </c>
      <c r="O488" s="18" t="n">
        <v>0.177064</v>
      </c>
      <c r="P488" s="18" t="n">
        <v>0.163892</v>
      </c>
      <c r="Q488" s="18" t="n">
        <v>0.343591</v>
      </c>
    </row>
    <row r="489">
      <c r="A489" s="30" t="n">
        <v>4322608</v>
      </c>
      <c r="B489" s="5" t="inlineStr">
        <is>
          <t>Venâncio Aires</t>
        </is>
      </c>
      <c r="C489" s="19">
        <f>N489</f>
        <v/>
      </c>
      <c r="D489" s="19">
        <f>O489</f>
        <v/>
      </c>
      <c r="E489" s="19">
        <f>P489</f>
        <v/>
      </c>
      <c r="F489" s="19">
        <f>Q489</f>
        <v/>
      </c>
      <c r="G489" s="19">
        <f>C489+D489+E489+F489</f>
        <v/>
      </c>
      <c r="H489" s="6" t="n">
        <v>0</v>
      </c>
      <c r="I489" s="31" t="n">
        <v>1</v>
      </c>
      <c r="J489" s="6" t="n">
        <v>21242</v>
      </c>
      <c r="K489" s="12" t="n">
        <v>182.681</v>
      </c>
      <c r="L489" s="6" t="n">
        <v>21.8</v>
      </c>
      <c r="N489" s="18" t="n">
        <v>3.55501</v>
      </c>
      <c r="O489" s="18" t="n">
        <v>47.540667</v>
      </c>
      <c r="P489" s="18" t="n">
        <v>4.457933</v>
      </c>
      <c r="Q489" s="18" t="n">
        <v>5.894571</v>
      </c>
    </row>
    <row r="490">
      <c r="A490" s="30" t="n">
        <v>4322707</v>
      </c>
      <c r="B490" s="5" t="inlineStr">
        <is>
          <t>Vera Cruz</t>
        </is>
      </c>
      <c r="C490" s="19">
        <f>N490</f>
        <v/>
      </c>
      <c r="D490" s="19">
        <f>O490</f>
        <v/>
      </c>
      <c r="E490" s="19">
        <f>P490</f>
        <v/>
      </c>
      <c r="F490" s="19">
        <f>Q490</f>
        <v/>
      </c>
      <c r="G490" s="19">
        <f>C490+D490+E490+F490</f>
        <v/>
      </c>
      <c r="H490" s="6" t="n">
        <v>0</v>
      </c>
      <c r="I490" s="31" t="n">
        <v>1</v>
      </c>
      <c r="J490" s="6" t="n">
        <v>8126</v>
      </c>
      <c r="K490" s="12" t="n">
        <v>69.884</v>
      </c>
      <c r="L490" s="6" t="n">
        <v>14.7</v>
      </c>
      <c r="N490" s="18" t="n">
        <v>1.359948</v>
      </c>
      <c r="O490" s="18" t="n">
        <v>41.318178</v>
      </c>
      <c r="P490" s="18" t="n">
        <v>5.931594</v>
      </c>
      <c r="Q490" s="18" t="n">
        <v>7.820121</v>
      </c>
    </row>
    <row r="491">
      <c r="A491" s="30" t="n">
        <v>4322806</v>
      </c>
      <c r="B491" s="5" t="inlineStr">
        <is>
          <t>Veranópolis</t>
        </is>
      </c>
      <c r="C491" s="19">
        <f>N491</f>
        <v/>
      </c>
      <c r="D491" s="19">
        <f>O491</f>
        <v/>
      </c>
      <c r="E491" s="19">
        <f>P491</f>
        <v/>
      </c>
      <c r="F491" s="19">
        <f>Q491</f>
        <v/>
      </c>
      <c r="G491" s="19">
        <f>C491+D491+E491+F491</f>
        <v/>
      </c>
      <c r="H491" s="6" t="n">
        <v>0</v>
      </c>
      <c r="I491" s="31" t="n">
        <v>0</v>
      </c>
      <c r="J491" s="6" t="n">
        <v>0</v>
      </c>
      <c r="K491" s="12" t="n">
        <v>0</v>
      </c>
      <c r="L491" s="6" t="n">
        <v>112.4</v>
      </c>
      <c r="N491" s="18" t="n">
        <v>0</v>
      </c>
      <c r="O491" s="18" t="n">
        <v>7.265068</v>
      </c>
      <c r="P491" s="18" t="n">
        <v>0.9272049999999999</v>
      </c>
      <c r="Q491" s="18" t="n">
        <v>1.995914</v>
      </c>
    </row>
    <row r="492">
      <c r="A492" s="30" t="n">
        <v>4322855</v>
      </c>
      <c r="B492" s="5" t="inlineStr">
        <is>
          <t>Vespasiano Corrêa</t>
        </is>
      </c>
      <c r="C492" s="19">
        <f>N492</f>
        <v/>
      </c>
      <c r="D492" s="19">
        <f>O492</f>
        <v/>
      </c>
      <c r="E492" s="19">
        <f>P492</f>
        <v/>
      </c>
      <c r="F492" s="19">
        <f>Q492</f>
        <v/>
      </c>
      <c r="G492" s="19">
        <f>C492+D492+E492+F492</f>
        <v/>
      </c>
      <c r="H492" s="6" t="n">
        <v>0</v>
      </c>
      <c r="I492" s="31" t="n">
        <v>0</v>
      </c>
      <c r="J492" s="6" t="n">
        <v>96</v>
      </c>
      <c r="K492" s="12" t="n">
        <v>0.826</v>
      </c>
      <c r="L492" s="6" t="n">
        <v>83.3</v>
      </c>
      <c r="N492" s="18" t="n">
        <v>0.016066</v>
      </c>
      <c r="O492" s="18" t="n">
        <v>0.235963</v>
      </c>
      <c r="P492" s="18" t="n">
        <v>0.269544</v>
      </c>
      <c r="Q492" s="18" t="n">
        <v>0.580915</v>
      </c>
    </row>
    <row r="493">
      <c r="A493" s="30" t="n">
        <v>4322905</v>
      </c>
      <c r="B493" s="5" t="inlineStr">
        <is>
          <t>Viadutos</t>
        </is>
      </c>
      <c r="C493" s="19">
        <f>N493</f>
        <v/>
      </c>
      <c r="D493" s="19">
        <f>O493</f>
        <v/>
      </c>
      <c r="E493" s="19">
        <f>P493</f>
        <v/>
      </c>
      <c r="F493" s="19">
        <f>Q493</f>
        <v/>
      </c>
      <c r="G493" s="19">
        <f>C493+D493+E493+F493</f>
        <v/>
      </c>
      <c r="H493" s="6" t="n">
        <v>0</v>
      </c>
      <c r="I493" s="31" t="n">
        <v>0</v>
      </c>
      <c r="J493" s="6" t="n">
        <v>24</v>
      </c>
      <c r="K493" s="12" t="n">
        <v>0.206</v>
      </c>
      <c r="L493" s="6" t="n">
        <v>233.4</v>
      </c>
      <c r="N493" s="18" t="n">
        <v>0.004017</v>
      </c>
      <c r="O493" s="18" t="n">
        <v>0.05241</v>
      </c>
      <c r="P493" s="18" t="n">
        <v>0.084048</v>
      </c>
      <c r="Q493" s="18" t="n">
        <v>0.092344</v>
      </c>
    </row>
    <row r="494">
      <c r="A494" s="30" t="n">
        <v>4323002</v>
      </c>
      <c r="B494" s="5" t="inlineStr">
        <is>
          <t>Viamão</t>
        </is>
      </c>
      <c r="C494" s="19">
        <f>N494</f>
        <v/>
      </c>
      <c r="D494" s="19">
        <f>O494</f>
        <v/>
      </c>
      <c r="E494" s="19">
        <f>P494</f>
        <v/>
      </c>
      <c r="F494" s="19">
        <f>Q494</f>
        <v/>
      </c>
      <c r="G494" s="19">
        <f>C494+D494+E494+F494</f>
        <v/>
      </c>
      <c r="H494" s="6" t="n">
        <v>0</v>
      </c>
      <c r="I494" s="31" t="n">
        <v>0</v>
      </c>
      <c r="J494" s="6" t="n">
        <v>0</v>
      </c>
      <c r="K494" s="12" t="n">
        <v>0</v>
      </c>
      <c r="L494" s="6" t="n">
        <v>159.2</v>
      </c>
      <c r="N494" s="18" t="n">
        <v>0</v>
      </c>
      <c r="O494" s="18" t="n">
        <v>3.886301</v>
      </c>
      <c r="P494" s="18" t="n">
        <v>1.225112</v>
      </c>
      <c r="Q494" s="18" t="n">
        <v>5.642116</v>
      </c>
    </row>
    <row r="495">
      <c r="A495" s="30" t="n">
        <v>4323101</v>
      </c>
      <c r="B495" s="5" t="inlineStr">
        <is>
          <t>Vicente Dutra</t>
        </is>
      </c>
      <c r="C495" s="19">
        <f>N495</f>
        <v/>
      </c>
      <c r="D495" s="19">
        <f>O495</f>
        <v/>
      </c>
      <c r="E495" s="19">
        <f>P495</f>
        <v/>
      </c>
      <c r="F495" s="19">
        <f>Q495</f>
        <v/>
      </c>
      <c r="G495" s="19">
        <f>C495+D495+E495+F495</f>
        <v/>
      </c>
      <c r="H495" s="6" t="n">
        <v>0</v>
      </c>
      <c r="I495" s="31" t="n">
        <v>0</v>
      </c>
      <c r="J495" s="6" t="n">
        <v>1419</v>
      </c>
      <c r="K495" s="12" t="n">
        <v>12.203</v>
      </c>
      <c r="L495" s="6" t="n">
        <v>290.7</v>
      </c>
      <c r="N495" s="18" t="n">
        <v>0.23748</v>
      </c>
      <c r="O495" s="18" t="n">
        <v>0</v>
      </c>
      <c r="P495" s="18" t="n">
        <v>0</v>
      </c>
      <c r="Q495" s="18" t="n">
        <v>0.031003</v>
      </c>
    </row>
    <row r="496">
      <c r="A496" s="30" t="n">
        <v>4323200</v>
      </c>
      <c r="B496" s="5" t="inlineStr">
        <is>
          <t>Victor Graeff</t>
        </is>
      </c>
      <c r="C496" s="19">
        <f>N496</f>
        <v/>
      </c>
      <c r="D496" s="19">
        <f>O496</f>
        <v/>
      </c>
      <c r="E496" s="19">
        <f>P496</f>
        <v/>
      </c>
      <c r="F496" s="19">
        <f>Q496</f>
        <v/>
      </c>
      <c r="G496" s="19">
        <f>C496+D496+E496+F496</f>
        <v/>
      </c>
      <c r="H496" s="6" t="n">
        <v>0</v>
      </c>
      <c r="I496" s="31" t="n">
        <v>0</v>
      </c>
      <c r="J496" s="6" t="n">
        <v>0</v>
      </c>
      <c r="K496" s="12" t="n">
        <v>0</v>
      </c>
      <c r="L496" s="6" t="n">
        <v>124.5</v>
      </c>
      <c r="N496" s="18" t="n">
        <v>0</v>
      </c>
      <c r="O496" s="18" t="n">
        <v>0.875231</v>
      </c>
      <c r="P496" s="18" t="n">
        <v>0.230671</v>
      </c>
      <c r="Q496" s="18" t="n">
        <v>0.2869</v>
      </c>
    </row>
    <row r="497">
      <c r="A497" s="30" t="n">
        <v>4323309</v>
      </c>
      <c r="B497" s="5" t="inlineStr">
        <is>
          <t>Vila Flores</t>
        </is>
      </c>
      <c r="C497" s="19">
        <f>N497</f>
        <v/>
      </c>
      <c r="D497" s="19">
        <f>O497</f>
        <v/>
      </c>
      <c r="E497" s="19">
        <f>P497</f>
        <v/>
      </c>
      <c r="F497" s="19">
        <f>Q497</f>
        <v/>
      </c>
      <c r="G497" s="19">
        <f>C497+D497+E497+F497</f>
        <v/>
      </c>
      <c r="H497" s="6" t="n">
        <v>0</v>
      </c>
      <c r="I497" s="31" t="n">
        <v>0</v>
      </c>
      <c r="J497" s="6" t="n">
        <v>0</v>
      </c>
      <c r="K497" s="12" t="n">
        <v>0</v>
      </c>
      <c r="L497" s="6" t="n">
        <v>120.5</v>
      </c>
      <c r="N497" s="18" t="n">
        <v>0</v>
      </c>
      <c r="O497" s="18" t="n">
        <v>0.540784</v>
      </c>
      <c r="P497" s="18" t="n">
        <v>0.232161</v>
      </c>
      <c r="Q497" s="18" t="n">
        <v>0.703987</v>
      </c>
    </row>
    <row r="498">
      <c r="A498" s="30" t="n">
        <v>4323358</v>
      </c>
      <c r="B498" s="5" t="inlineStr">
        <is>
          <t>Vila Lângaro</t>
        </is>
      </c>
      <c r="C498" s="19">
        <f>N498</f>
        <v/>
      </c>
      <c r="D498" s="19">
        <f>O498</f>
        <v/>
      </c>
      <c r="E498" s="19">
        <f>P498</f>
        <v/>
      </c>
      <c r="F498" s="19">
        <f>Q498</f>
        <v/>
      </c>
      <c r="G498" s="19">
        <f>C498+D498+E498+F498</f>
        <v/>
      </c>
      <c r="H498" s="6" t="n">
        <v>0</v>
      </c>
      <c r="I498" s="31" t="n">
        <v>0</v>
      </c>
      <c r="J498" s="6" t="n">
        <v>0</v>
      </c>
      <c r="K498" s="12" t="n">
        <v>0</v>
      </c>
      <c r="L498" s="6" t="n">
        <v>170.3</v>
      </c>
      <c r="N498" s="18" t="n">
        <v>0</v>
      </c>
      <c r="O498" s="18" t="n">
        <v>0.178314</v>
      </c>
      <c r="P498" s="18" t="n">
        <v>0.069672</v>
      </c>
      <c r="Q498" s="18" t="n">
        <v>0.198075</v>
      </c>
    </row>
    <row r="499">
      <c r="A499" s="30" t="n">
        <v>4323408</v>
      </c>
      <c r="B499" s="5" t="inlineStr">
        <is>
          <t>Vila Maria</t>
        </is>
      </c>
      <c r="C499" s="19">
        <f>N499</f>
        <v/>
      </c>
      <c r="D499" s="19">
        <f>O499</f>
        <v/>
      </c>
      <c r="E499" s="19">
        <f>P499</f>
        <v/>
      </c>
      <c r="F499" s="19">
        <f>Q499</f>
        <v/>
      </c>
      <c r="G499" s="19">
        <f>C499+D499+E499+F499</f>
        <v/>
      </c>
      <c r="H499" s="6" t="n">
        <v>0</v>
      </c>
      <c r="I499" s="31" t="n">
        <v>0</v>
      </c>
      <c r="J499" s="6" t="n">
        <v>6</v>
      </c>
      <c r="K499" s="12" t="n">
        <v>0.052</v>
      </c>
      <c r="L499" s="6" t="n">
        <v>123.2</v>
      </c>
      <c r="N499" s="18" t="n">
        <v>0.001004</v>
      </c>
      <c r="O499" s="18" t="n">
        <v>6.953387</v>
      </c>
      <c r="P499" s="18" t="n">
        <v>0.376828</v>
      </c>
      <c r="Q499" s="18" t="n">
        <v>0.495157</v>
      </c>
    </row>
    <row r="500">
      <c r="A500" s="30" t="n">
        <v>4323457</v>
      </c>
      <c r="B500" s="5" t="inlineStr">
        <is>
          <t>Vila Nova do Sul</t>
        </is>
      </c>
      <c r="C500" s="19">
        <f>N500</f>
        <v/>
      </c>
      <c r="D500" s="19">
        <f>O500</f>
        <v/>
      </c>
      <c r="E500" s="19">
        <f>P500</f>
        <v/>
      </c>
      <c r="F500" s="19">
        <f>Q500</f>
        <v/>
      </c>
      <c r="G500" s="19">
        <f>C500+D500+E500+F500</f>
        <v/>
      </c>
      <c r="H500" s="6" t="n">
        <v>0</v>
      </c>
      <c r="I500" s="31" t="n">
        <v>0</v>
      </c>
      <c r="J500" s="6" t="n">
        <v>0</v>
      </c>
      <c r="K500" s="12" t="n">
        <v>0</v>
      </c>
      <c r="L500" s="6" t="n">
        <v>161.7</v>
      </c>
      <c r="N500" s="18" t="n">
        <v>0</v>
      </c>
      <c r="O500" s="18" t="n">
        <v>0.087716</v>
      </c>
      <c r="P500" s="18" t="n">
        <v>0.138721</v>
      </c>
      <c r="Q500" s="18" t="n">
        <v>0.092684</v>
      </c>
    </row>
    <row r="501">
      <c r="A501" s="30" t="n">
        <v>4323507</v>
      </c>
      <c r="B501" s="5" t="inlineStr">
        <is>
          <t>Vista Alegre</t>
        </is>
      </c>
      <c r="C501" s="19">
        <f>N501</f>
        <v/>
      </c>
      <c r="D501" s="19">
        <f>O501</f>
        <v/>
      </c>
      <c r="E501" s="19">
        <f>P501</f>
        <v/>
      </c>
      <c r="F501" s="19">
        <f>Q501</f>
        <v/>
      </c>
      <c r="G501" s="19">
        <f>C501+D501+E501+F501</f>
        <v/>
      </c>
      <c r="H501" s="6" t="n">
        <v>0</v>
      </c>
      <c r="I501" s="31" t="n">
        <v>0</v>
      </c>
      <c r="J501" s="6" t="n">
        <v>257</v>
      </c>
      <c r="K501" s="12" t="n">
        <v>2.21</v>
      </c>
      <c r="L501" s="6" t="n">
        <v>279.1</v>
      </c>
      <c r="N501" s="18" t="n">
        <v>0.043011</v>
      </c>
      <c r="O501" s="18" t="n">
        <v>0</v>
      </c>
      <c r="P501" s="18" t="n">
        <v>0</v>
      </c>
      <c r="Q501" s="18" t="n">
        <v>0.026598</v>
      </c>
    </row>
    <row r="502">
      <c r="A502" s="30" t="n">
        <v>4323606</v>
      </c>
      <c r="B502" s="5" t="inlineStr">
        <is>
          <t>Vista Alegre do Prata</t>
        </is>
      </c>
      <c r="C502" s="19">
        <f>N502</f>
        <v/>
      </c>
      <c r="D502" s="19">
        <f>O502</f>
        <v/>
      </c>
      <c r="E502" s="19">
        <f>P502</f>
        <v/>
      </c>
      <c r="F502" s="19">
        <f>Q502</f>
        <v/>
      </c>
      <c r="G502" s="19">
        <f>C502+D502+E502+F502</f>
        <v/>
      </c>
      <c r="H502" s="6" t="n">
        <v>0</v>
      </c>
      <c r="I502" s="31" t="n">
        <v>0</v>
      </c>
      <c r="J502" s="6" t="n">
        <v>0</v>
      </c>
      <c r="K502" s="12" t="n">
        <v>0</v>
      </c>
      <c r="L502" s="6" t="n">
        <v>109.8</v>
      </c>
      <c r="N502" s="18" t="n">
        <v>0</v>
      </c>
      <c r="O502" s="18" t="n">
        <v>0.169617</v>
      </c>
      <c r="P502" s="18" t="n">
        <v>0.164287</v>
      </c>
      <c r="Q502" s="18" t="n">
        <v>0.448313</v>
      </c>
    </row>
    <row r="503">
      <c r="A503" s="30" t="n">
        <v>4323705</v>
      </c>
      <c r="B503" s="5" t="inlineStr">
        <is>
          <t>Vista Gaúcha</t>
        </is>
      </c>
      <c r="C503" s="19">
        <f>N503</f>
        <v/>
      </c>
      <c r="D503" s="19">
        <f>O503</f>
        <v/>
      </c>
      <c r="E503" s="19">
        <f>P503</f>
        <v/>
      </c>
      <c r="F503" s="19">
        <f>Q503</f>
        <v/>
      </c>
      <c r="G503" s="19">
        <f>C503+D503+E503+F503</f>
        <v/>
      </c>
      <c r="H503" s="6" t="n">
        <v>0</v>
      </c>
      <c r="I503" s="31" t="n">
        <v>0</v>
      </c>
      <c r="J503" s="6" t="n">
        <v>14</v>
      </c>
      <c r="K503" s="12" t="n">
        <v>0.12</v>
      </c>
      <c r="L503" s="6" t="n">
        <v>292.7</v>
      </c>
      <c r="N503" s="18" t="n">
        <v>0.002343</v>
      </c>
      <c r="O503" s="18" t="n">
        <v>0</v>
      </c>
      <c r="P503" s="18" t="n">
        <v>0</v>
      </c>
      <c r="Q503" s="18" t="n">
        <v>0.021331</v>
      </c>
    </row>
    <row r="504">
      <c r="A504" s="30" t="n">
        <v>4323754</v>
      </c>
      <c r="B504" s="5" t="inlineStr">
        <is>
          <t>Vitória das Missões</t>
        </is>
      </c>
      <c r="C504" s="19">
        <f>N504</f>
        <v/>
      </c>
      <c r="D504" s="19">
        <f>O504</f>
        <v/>
      </c>
      <c r="E504" s="19">
        <f>P504</f>
        <v/>
      </c>
      <c r="F504" s="19">
        <f>Q504</f>
        <v/>
      </c>
      <c r="G504" s="19">
        <f>C504+D504+E504+F504</f>
        <v/>
      </c>
      <c r="H504" s="6" t="n">
        <v>0</v>
      </c>
      <c r="I504" s="31" t="n">
        <v>0</v>
      </c>
      <c r="J504" s="6" t="n">
        <v>0</v>
      </c>
      <c r="K504" s="12" t="n">
        <v>0</v>
      </c>
      <c r="L504" s="6" t="n">
        <v>244.4</v>
      </c>
      <c r="N504" s="18" t="n">
        <v>0</v>
      </c>
      <c r="O504" s="18" t="n">
        <v>0.017424</v>
      </c>
      <c r="P504" s="18" t="n">
        <v>0.046413</v>
      </c>
      <c r="Q504" s="18" t="n">
        <v>0.026614</v>
      </c>
    </row>
    <row r="505">
      <c r="A505" s="30" t="n">
        <v>4323770</v>
      </c>
      <c r="B505" s="5" t="inlineStr">
        <is>
          <t>Westfália</t>
        </is>
      </c>
      <c r="C505" s="19">
        <f>N505</f>
        <v/>
      </c>
      <c r="D505" s="19">
        <f>O505</f>
        <v/>
      </c>
      <c r="E505" s="19">
        <f>P505</f>
        <v/>
      </c>
      <c r="F505" s="19">
        <f>Q505</f>
        <v/>
      </c>
      <c r="G505" s="19">
        <f>C505+D505+E505+F505</f>
        <v/>
      </c>
      <c r="H505" s="6" t="n">
        <v>0</v>
      </c>
      <c r="I505" s="31" t="n">
        <v>0</v>
      </c>
      <c r="J505" s="6" t="n">
        <v>0</v>
      </c>
      <c r="K505" s="12" t="n">
        <v>0</v>
      </c>
      <c r="L505" s="6" t="n">
        <v>69.59999999999999</v>
      </c>
      <c r="N505" s="18" t="n">
        <v>0</v>
      </c>
      <c r="O505" s="18" t="n">
        <v>1.063597</v>
      </c>
      <c r="P505" s="18" t="n">
        <v>0.363575</v>
      </c>
      <c r="Q505" s="18" t="n">
        <v>0.94059</v>
      </c>
    </row>
    <row r="506">
      <c r="A506" s="30" t="n">
        <v>4323804</v>
      </c>
      <c r="B506" s="5" t="inlineStr">
        <is>
          <t>Xangri-Lá</t>
        </is>
      </c>
      <c r="C506" s="19">
        <f>N506</f>
        <v/>
      </c>
      <c r="D506" s="19">
        <f>O506</f>
        <v/>
      </c>
      <c r="E506" s="19">
        <f>P506</f>
        <v/>
      </c>
      <c r="F506" s="19">
        <f>Q506</f>
        <v/>
      </c>
      <c r="G506" s="19">
        <f>C506+D506+E506+F506</f>
        <v/>
      </c>
      <c r="H506" s="6" t="n">
        <v>0</v>
      </c>
      <c r="I506" s="31" t="n">
        <v>0</v>
      </c>
      <c r="J506" s="6" t="n">
        <v>0</v>
      </c>
      <c r="K506" s="12" t="n">
        <v>0</v>
      </c>
      <c r="L506" s="6" t="n">
        <v>226.7</v>
      </c>
      <c r="N506" s="18" t="n">
        <v>0</v>
      </c>
      <c r="O506" s="18" t="n">
        <v>0.238144</v>
      </c>
      <c r="P506" s="18" t="n">
        <v>0.330388</v>
      </c>
      <c r="Q506" s="18" t="n">
        <v>0.661406</v>
      </c>
    </row>
    <row r="507">
      <c r="B507" s="4" t="inlineStr">
        <is>
          <t>TOTAL</t>
        </is>
      </c>
      <c r="C507" s="20">
        <f>SUM(C10:C506)</f>
        <v/>
      </c>
      <c r="D507" s="20">
        <f>SUM(D10:D506)</f>
        <v/>
      </c>
      <c r="E507" s="20">
        <f>SUM(E10:E506)</f>
        <v/>
      </c>
      <c r="F507" s="20">
        <f>SUM(F10:F506)</f>
        <v/>
      </c>
      <c r="G507" s="20">
        <f>SUM(G10:G506)</f>
        <v/>
      </c>
      <c r="H507" s="32">
        <f>SUM(H10:H506)</f>
        <v/>
      </c>
    </row>
  </sheetData>
  <autoFilter ref="A9:L506"/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COREDE Vale do Rio Pardo</t>
        </is>
      </c>
    </row>
    <row r="2" ht="18" customHeight="1">
      <c r="A2" s="2" t="inlineStr">
        <is>
          <t>R$ milhões de 2025. Cada valor é SOMASE do código IBGE na aba 10.</t>
        </is>
      </c>
    </row>
    <row r="3" ht="32" customHeight="1">
      <c r="A3" s="2" t="inlineStr">
        <is>
          <t>Artigo 3º do estatuto. 23 municípios. Gramado Xavier fica de fora.</t>
        </is>
      </c>
    </row>
    <row r="6">
      <c r="A6" s="3" t="inlineStr">
        <is>
          <t>Código IBGE</t>
        </is>
      </c>
      <c r="B6" s="3" t="inlineStr">
        <is>
          <t>Município</t>
        </is>
      </c>
      <c r="C6" s="3" t="inlineStr">
        <is>
          <t>Transbordamento</t>
        </is>
      </c>
      <c r="D6" s="3" t="inlineStr">
        <is>
          <t>Folha</t>
        </is>
      </c>
      <c r="E6" s="3" t="inlineStr">
        <is>
          <t>Indústria</t>
        </is>
      </c>
      <c r="F6" s="3" t="inlineStr">
        <is>
          <t>Serviços</t>
        </is>
      </c>
      <c r="G6" s="3" t="inlineStr">
        <is>
          <t>Induzido</t>
        </is>
      </c>
    </row>
    <row r="7">
      <c r="A7" s="31" t="n">
        <v>4316808</v>
      </c>
      <c r="B7" s="5">
        <f>INDEX('10_municipios'!$B$10:$B$506,MATCH(A7,'10_municipios'!$A$10:$A$506,0))</f>
        <v/>
      </c>
      <c r="C7" s="14">
        <f>INDEX('10_municipios'!$G$10:$G$506,MATCH(A7,'10_municipios'!$A$10:$A$506,0))</f>
        <v/>
      </c>
      <c r="D7" s="14">
        <f>INDEX('10_municipios'!$C$10:$C$506,MATCH(A7,'10_municipios'!$A$10:$A$506,0))</f>
        <v/>
      </c>
      <c r="E7" s="14">
        <f>INDEX('10_municipios'!$D$10:$D$506,MATCH(A7,'10_municipios'!$A$10:$A$506,0))</f>
        <v/>
      </c>
      <c r="F7" s="14">
        <f>INDEX('10_municipios'!$E$10:$E$506,MATCH(A7,'10_municipios'!$A$10:$A$506,0))</f>
        <v/>
      </c>
      <c r="G7" s="14">
        <f>INDEX('10_municipios'!$F$10:$F$506,MATCH(A7,'10_municipios'!$A$10:$A$506,0))</f>
        <v/>
      </c>
    </row>
    <row r="8">
      <c r="A8" s="31" t="n">
        <v>4322608</v>
      </c>
      <c r="B8" s="5">
        <f>INDEX('10_municipios'!$B$10:$B$506,MATCH(A8,'10_municipios'!$A$10:$A$506,0))</f>
        <v/>
      </c>
      <c r="C8" s="14">
        <f>INDEX('10_municipios'!$G$10:$G$506,MATCH(A8,'10_municipios'!$A$10:$A$506,0))</f>
        <v/>
      </c>
      <c r="D8" s="14">
        <f>INDEX('10_municipios'!$C$10:$C$506,MATCH(A8,'10_municipios'!$A$10:$A$506,0))</f>
        <v/>
      </c>
      <c r="E8" s="14">
        <f>INDEX('10_municipios'!$D$10:$D$506,MATCH(A8,'10_municipios'!$A$10:$A$506,0))</f>
        <v/>
      </c>
      <c r="F8" s="14">
        <f>INDEX('10_municipios'!$E$10:$E$506,MATCH(A8,'10_municipios'!$A$10:$A$506,0))</f>
        <v/>
      </c>
      <c r="G8" s="14">
        <f>INDEX('10_municipios'!$F$10:$F$506,MATCH(A8,'10_municipios'!$A$10:$A$506,0))</f>
        <v/>
      </c>
    </row>
    <row r="9">
      <c r="A9" s="31" t="n">
        <v>4322707</v>
      </c>
      <c r="B9" s="5">
        <f>INDEX('10_municipios'!$B$10:$B$506,MATCH(A9,'10_municipios'!$A$10:$A$506,0))</f>
        <v/>
      </c>
      <c r="C9" s="14">
        <f>INDEX('10_municipios'!$G$10:$G$506,MATCH(A9,'10_municipios'!$A$10:$A$506,0))</f>
        <v/>
      </c>
      <c r="D9" s="14">
        <f>INDEX('10_municipios'!$C$10:$C$506,MATCH(A9,'10_municipios'!$A$10:$A$506,0))</f>
        <v/>
      </c>
      <c r="E9" s="14">
        <f>INDEX('10_municipios'!$D$10:$D$506,MATCH(A9,'10_municipios'!$A$10:$A$506,0))</f>
        <v/>
      </c>
      <c r="F9" s="14">
        <f>INDEX('10_municipios'!$E$10:$E$506,MATCH(A9,'10_municipios'!$A$10:$A$506,0))</f>
        <v/>
      </c>
      <c r="G9" s="14">
        <f>INDEX('10_municipios'!$F$10:$F$506,MATCH(A9,'10_municipios'!$A$10:$A$506,0))</f>
        <v/>
      </c>
    </row>
    <row r="10">
      <c r="A10" s="31" t="n">
        <v>4315701</v>
      </c>
      <c r="B10" s="5">
        <f>INDEX('10_municipios'!$B$10:$B$506,MATCH(A10,'10_municipios'!$A$10:$A$506,0))</f>
        <v/>
      </c>
      <c r="C10" s="14">
        <f>INDEX('10_municipios'!$G$10:$G$506,MATCH(A10,'10_municipios'!$A$10:$A$506,0))</f>
        <v/>
      </c>
      <c r="D10" s="14">
        <f>INDEX('10_municipios'!$C$10:$C$506,MATCH(A10,'10_municipios'!$A$10:$A$506,0))</f>
        <v/>
      </c>
      <c r="E10" s="14">
        <f>INDEX('10_municipios'!$D$10:$D$506,MATCH(A10,'10_municipios'!$A$10:$A$506,0))</f>
        <v/>
      </c>
      <c r="F10" s="14">
        <f>INDEX('10_municipios'!$E$10:$E$506,MATCH(A10,'10_municipios'!$A$10:$A$506,0))</f>
        <v/>
      </c>
      <c r="G10" s="14">
        <f>INDEX('10_municipios'!$F$10:$F$506,MATCH(A10,'10_municipios'!$A$10:$A$506,0))</f>
        <v/>
      </c>
    </row>
    <row r="11">
      <c r="A11" s="31" t="n">
        <v>4304200</v>
      </c>
      <c r="B11" s="5">
        <f>INDEX('10_municipios'!$B$10:$B$506,MATCH(A11,'10_municipios'!$A$10:$A$506,0))</f>
        <v/>
      </c>
      <c r="C11" s="14">
        <f>INDEX('10_municipios'!$G$10:$G$506,MATCH(A11,'10_municipios'!$A$10:$A$506,0))</f>
        <v/>
      </c>
      <c r="D11" s="14">
        <f>INDEX('10_municipios'!$C$10:$C$506,MATCH(A11,'10_municipios'!$A$10:$A$506,0))</f>
        <v/>
      </c>
      <c r="E11" s="14">
        <f>INDEX('10_municipios'!$D$10:$D$506,MATCH(A11,'10_municipios'!$A$10:$A$506,0))</f>
        <v/>
      </c>
      <c r="F11" s="14">
        <f>INDEX('10_municipios'!$E$10:$E$506,MATCH(A11,'10_municipios'!$A$10:$A$506,0))</f>
        <v/>
      </c>
      <c r="G11" s="14">
        <f>INDEX('10_municipios'!$F$10:$F$506,MATCH(A11,'10_municipios'!$A$10:$A$506,0))</f>
        <v/>
      </c>
    </row>
    <row r="12">
      <c r="A12" s="31" t="n">
        <v>4322533</v>
      </c>
      <c r="B12" s="5">
        <f>INDEX('10_municipios'!$B$10:$B$506,MATCH(A12,'10_municipios'!$A$10:$A$506,0))</f>
        <v/>
      </c>
      <c r="C12" s="14">
        <f>INDEX('10_municipios'!$G$10:$G$506,MATCH(A12,'10_municipios'!$A$10:$A$506,0))</f>
        <v/>
      </c>
      <c r="D12" s="14">
        <f>INDEX('10_municipios'!$C$10:$C$506,MATCH(A12,'10_municipios'!$A$10:$A$506,0))</f>
        <v/>
      </c>
      <c r="E12" s="14">
        <f>INDEX('10_municipios'!$D$10:$D$506,MATCH(A12,'10_municipios'!$A$10:$A$506,0))</f>
        <v/>
      </c>
      <c r="F12" s="14">
        <f>INDEX('10_municipios'!$E$10:$E$506,MATCH(A12,'10_municipios'!$A$10:$A$506,0))</f>
        <v/>
      </c>
      <c r="G12" s="14">
        <f>INDEX('10_municipios'!$F$10:$F$506,MATCH(A12,'10_municipios'!$A$10:$A$506,0))</f>
        <v/>
      </c>
    </row>
    <row r="13">
      <c r="A13" s="31" t="n">
        <v>4320677</v>
      </c>
      <c r="B13" s="5">
        <f>INDEX('10_municipios'!$B$10:$B$506,MATCH(A13,'10_municipios'!$A$10:$A$506,0))</f>
        <v/>
      </c>
      <c r="C13" s="14">
        <f>INDEX('10_municipios'!$G$10:$G$506,MATCH(A13,'10_municipios'!$A$10:$A$506,0))</f>
        <v/>
      </c>
      <c r="D13" s="14">
        <f>INDEX('10_municipios'!$C$10:$C$506,MATCH(A13,'10_municipios'!$A$10:$A$506,0))</f>
        <v/>
      </c>
      <c r="E13" s="14">
        <f>INDEX('10_municipios'!$D$10:$D$506,MATCH(A13,'10_municipios'!$A$10:$A$506,0))</f>
        <v/>
      </c>
      <c r="F13" s="14">
        <f>INDEX('10_municipios'!$E$10:$E$506,MATCH(A13,'10_municipios'!$A$10:$A$506,0))</f>
        <v/>
      </c>
      <c r="G13" s="14">
        <f>INDEX('10_municipios'!$F$10:$F$506,MATCH(A13,'10_municipios'!$A$10:$A$506,0))</f>
        <v/>
      </c>
    </row>
    <row r="14">
      <c r="A14" s="31" t="n">
        <v>4301206</v>
      </c>
      <c r="B14" s="5">
        <f>INDEX('10_municipios'!$B$10:$B$506,MATCH(A14,'10_municipios'!$A$10:$A$506,0))</f>
        <v/>
      </c>
      <c r="C14" s="14">
        <f>INDEX('10_municipios'!$G$10:$G$506,MATCH(A14,'10_municipios'!$A$10:$A$506,0))</f>
        <v/>
      </c>
      <c r="D14" s="14">
        <f>INDEX('10_municipios'!$C$10:$C$506,MATCH(A14,'10_municipios'!$A$10:$A$506,0))</f>
        <v/>
      </c>
      <c r="E14" s="14">
        <f>INDEX('10_municipios'!$D$10:$D$506,MATCH(A14,'10_municipios'!$A$10:$A$506,0))</f>
        <v/>
      </c>
      <c r="F14" s="14">
        <f>INDEX('10_municipios'!$E$10:$E$506,MATCH(A14,'10_municipios'!$A$10:$A$506,0))</f>
        <v/>
      </c>
      <c r="G14" s="14">
        <f>INDEX('10_municipios'!$F$10:$F$506,MATCH(A14,'10_municipios'!$A$10:$A$506,0))</f>
        <v/>
      </c>
    </row>
    <row r="15">
      <c r="A15" s="31" t="n">
        <v>4314076</v>
      </c>
      <c r="B15" s="5">
        <f>INDEX('10_municipios'!$B$10:$B$506,MATCH(A15,'10_municipios'!$A$10:$A$506,0))</f>
        <v/>
      </c>
      <c r="C15" s="14">
        <f>INDEX('10_municipios'!$G$10:$G$506,MATCH(A15,'10_municipios'!$A$10:$A$506,0))</f>
        <v/>
      </c>
      <c r="D15" s="14">
        <f>INDEX('10_municipios'!$C$10:$C$506,MATCH(A15,'10_municipios'!$A$10:$A$506,0))</f>
        <v/>
      </c>
      <c r="E15" s="14">
        <f>INDEX('10_municipios'!$D$10:$D$506,MATCH(A15,'10_municipios'!$A$10:$A$506,0))</f>
        <v/>
      </c>
      <c r="F15" s="14">
        <f>INDEX('10_municipios'!$E$10:$E$506,MATCH(A15,'10_municipios'!$A$10:$A$506,0))</f>
        <v/>
      </c>
      <c r="G15" s="14">
        <f>INDEX('10_municipios'!$F$10:$F$506,MATCH(A15,'10_municipios'!$A$10:$A$506,0))</f>
        <v/>
      </c>
    </row>
    <row r="16">
      <c r="A16" s="31" t="n">
        <v>4320701</v>
      </c>
      <c r="B16" s="5">
        <f>INDEX('10_municipios'!$B$10:$B$506,MATCH(A16,'10_municipios'!$A$10:$A$506,0))</f>
        <v/>
      </c>
      <c r="C16" s="14">
        <f>INDEX('10_municipios'!$G$10:$G$506,MATCH(A16,'10_municipios'!$A$10:$A$506,0))</f>
        <v/>
      </c>
      <c r="D16" s="14">
        <f>INDEX('10_municipios'!$C$10:$C$506,MATCH(A16,'10_municipios'!$A$10:$A$506,0))</f>
        <v/>
      </c>
      <c r="E16" s="14">
        <f>INDEX('10_municipios'!$D$10:$D$506,MATCH(A16,'10_municipios'!$A$10:$A$506,0))</f>
        <v/>
      </c>
      <c r="F16" s="14">
        <f>INDEX('10_municipios'!$E$10:$E$506,MATCH(A16,'10_municipios'!$A$10:$A$506,0))</f>
        <v/>
      </c>
      <c r="G16" s="14">
        <f>INDEX('10_municipios'!$F$10:$F$506,MATCH(A16,'10_municipios'!$A$10:$A$506,0))</f>
        <v/>
      </c>
    </row>
    <row r="17">
      <c r="A17" s="31" t="n">
        <v>4312153</v>
      </c>
      <c r="B17" s="5">
        <f>INDEX('10_municipios'!$B$10:$B$506,MATCH(A17,'10_municipios'!$A$10:$A$506,0))</f>
        <v/>
      </c>
      <c r="C17" s="14">
        <f>INDEX('10_municipios'!$G$10:$G$506,MATCH(A17,'10_municipios'!$A$10:$A$506,0))</f>
        <v/>
      </c>
      <c r="D17" s="14">
        <f>INDEX('10_municipios'!$C$10:$C$506,MATCH(A17,'10_municipios'!$A$10:$A$506,0))</f>
        <v/>
      </c>
      <c r="E17" s="14">
        <f>INDEX('10_municipios'!$D$10:$D$506,MATCH(A17,'10_municipios'!$A$10:$A$506,0))</f>
        <v/>
      </c>
      <c r="F17" s="14">
        <f>INDEX('10_municipios'!$E$10:$E$506,MATCH(A17,'10_municipios'!$A$10:$A$506,0))</f>
        <v/>
      </c>
      <c r="G17" s="14">
        <f>INDEX('10_municipios'!$F$10:$F$506,MATCH(A17,'10_municipios'!$A$10:$A$506,0))</f>
        <v/>
      </c>
    </row>
    <row r="18">
      <c r="A18" s="31" t="n">
        <v>4302451</v>
      </c>
      <c r="B18" s="5">
        <f>INDEX('10_municipios'!$B$10:$B$506,MATCH(A18,'10_municipios'!$A$10:$A$506,0))</f>
        <v/>
      </c>
      <c r="C18" s="14">
        <f>INDEX('10_municipios'!$G$10:$G$506,MATCH(A18,'10_municipios'!$A$10:$A$506,0))</f>
        <v/>
      </c>
      <c r="D18" s="14">
        <f>INDEX('10_municipios'!$C$10:$C$506,MATCH(A18,'10_municipios'!$A$10:$A$506,0))</f>
        <v/>
      </c>
      <c r="E18" s="14">
        <f>INDEX('10_municipios'!$D$10:$D$506,MATCH(A18,'10_municipios'!$A$10:$A$506,0))</f>
        <v/>
      </c>
      <c r="F18" s="14">
        <f>INDEX('10_municipios'!$E$10:$E$506,MATCH(A18,'10_municipios'!$A$10:$A$506,0))</f>
        <v/>
      </c>
      <c r="G18" s="14">
        <f>INDEX('10_municipios'!$F$10:$F$506,MATCH(A18,'10_municipios'!$A$10:$A$506,0))</f>
        <v/>
      </c>
    </row>
    <row r="19">
      <c r="A19" s="31" t="n">
        <v>4313953</v>
      </c>
      <c r="B19" s="5">
        <f>INDEX('10_municipios'!$B$10:$B$506,MATCH(A19,'10_municipios'!$A$10:$A$506,0))</f>
        <v/>
      </c>
      <c r="C19" s="14">
        <f>INDEX('10_municipios'!$G$10:$G$506,MATCH(A19,'10_municipios'!$A$10:$A$506,0))</f>
        <v/>
      </c>
      <c r="D19" s="14">
        <f>INDEX('10_municipios'!$C$10:$C$506,MATCH(A19,'10_municipios'!$A$10:$A$506,0))</f>
        <v/>
      </c>
      <c r="E19" s="14">
        <f>INDEX('10_municipios'!$D$10:$D$506,MATCH(A19,'10_municipios'!$A$10:$A$506,0))</f>
        <v/>
      </c>
      <c r="F19" s="14">
        <f>INDEX('10_municipios'!$E$10:$E$506,MATCH(A19,'10_municipios'!$A$10:$A$506,0))</f>
        <v/>
      </c>
      <c r="G19" s="14">
        <f>INDEX('10_municipios'!$F$10:$F$506,MATCH(A19,'10_municipios'!$A$10:$A$506,0))</f>
        <v/>
      </c>
    </row>
    <row r="20">
      <c r="A20" s="31" t="n">
        <v>4308805</v>
      </c>
      <c r="B20" s="5">
        <f>INDEX('10_municipios'!$B$10:$B$506,MATCH(A20,'10_municipios'!$A$10:$A$506,0))</f>
        <v/>
      </c>
      <c r="C20" s="14">
        <f>INDEX('10_municipios'!$G$10:$G$506,MATCH(A20,'10_municipios'!$A$10:$A$506,0))</f>
        <v/>
      </c>
      <c r="D20" s="14">
        <f>INDEX('10_municipios'!$C$10:$C$506,MATCH(A20,'10_municipios'!$A$10:$A$506,0))</f>
        <v/>
      </c>
      <c r="E20" s="14">
        <f>INDEX('10_municipios'!$D$10:$D$506,MATCH(A20,'10_municipios'!$A$10:$A$506,0))</f>
        <v/>
      </c>
      <c r="F20" s="14">
        <f>INDEX('10_municipios'!$E$10:$E$506,MATCH(A20,'10_municipios'!$A$10:$A$506,0))</f>
        <v/>
      </c>
      <c r="G20" s="14">
        <f>INDEX('10_municipios'!$F$10:$F$506,MATCH(A20,'10_municipios'!$A$10:$A$506,0))</f>
        <v/>
      </c>
    </row>
    <row r="21">
      <c r="A21" s="31" t="n">
        <v>4320263</v>
      </c>
      <c r="B21" s="5">
        <f>INDEX('10_municipios'!$B$10:$B$506,MATCH(A21,'10_municipios'!$A$10:$A$506,0))</f>
        <v/>
      </c>
      <c r="C21" s="14">
        <f>INDEX('10_municipios'!$G$10:$G$506,MATCH(A21,'10_municipios'!$A$10:$A$506,0))</f>
        <v/>
      </c>
      <c r="D21" s="14">
        <f>INDEX('10_municipios'!$C$10:$C$506,MATCH(A21,'10_municipios'!$A$10:$A$506,0))</f>
        <v/>
      </c>
      <c r="E21" s="14">
        <f>INDEX('10_municipios'!$D$10:$D$506,MATCH(A21,'10_municipios'!$A$10:$A$506,0))</f>
        <v/>
      </c>
      <c r="F21" s="14">
        <f>INDEX('10_municipios'!$E$10:$E$506,MATCH(A21,'10_municipios'!$A$10:$A$506,0))</f>
        <v/>
      </c>
      <c r="G21" s="14">
        <f>INDEX('10_municipios'!$F$10:$F$506,MATCH(A21,'10_municipios'!$A$10:$A$506,0))</f>
        <v/>
      </c>
    </row>
    <row r="22">
      <c r="A22" s="31" t="n">
        <v>4306908</v>
      </c>
      <c r="B22" s="5">
        <f>INDEX('10_municipios'!$B$10:$B$506,MATCH(A22,'10_municipios'!$A$10:$A$506,0))</f>
        <v/>
      </c>
      <c r="C22" s="14">
        <f>INDEX('10_municipios'!$G$10:$G$506,MATCH(A22,'10_municipios'!$A$10:$A$506,0))</f>
        <v/>
      </c>
      <c r="D22" s="14">
        <f>INDEX('10_municipios'!$C$10:$C$506,MATCH(A22,'10_municipios'!$A$10:$A$506,0))</f>
        <v/>
      </c>
      <c r="E22" s="14">
        <f>INDEX('10_municipios'!$D$10:$D$506,MATCH(A22,'10_municipios'!$A$10:$A$506,0))</f>
        <v/>
      </c>
      <c r="F22" s="14">
        <f>INDEX('10_municipios'!$E$10:$E$506,MATCH(A22,'10_municipios'!$A$10:$A$506,0))</f>
        <v/>
      </c>
      <c r="G22" s="14">
        <f>INDEX('10_municipios'!$F$10:$F$506,MATCH(A22,'10_municipios'!$A$10:$A$506,0))</f>
        <v/>
      </c>
    </row>
    <row r="23">
      <c r="A23" s="31" t="n">
        <v>4314068</v>
      </c>
      <c r="B23" s="5">
        <f>INDEX('10_municipios'!$B$10:$B$506,MATCH(A23,'10_municipios'!$A$10:$A$506,0))</f>
        <v/>
      </c>
      <c r="C23" s="14">
        <f>INDEX('10_municipios'!$G$10:$G$506,MATCH(A23,'10_municipios'!$A$10:$A$506,0))</f>
        <v/>
      </c>
      <c r="D23" s="14">
        <f>INDEX('10_municipios'!$C$10:$C$506,MATCH(A23,'10_municipios'!$A$10:$A$506,0))</f>
        <v/>
      </c>
      <c r="E23" s="14">
        <f>INDEX('10_municipios'!$D$10:$D$506,MATCH(A23,'10_municipios'!$A$10:$A$506,0))</f>
        <v/>
      </c>
      <c r="F23" s="14">
        <f>INDEX('10_municipios'!$E$10:$E$506,MATCH(A23,'10_municipios'!$A$10:$A$506,0))</f>
        <v/>
      </c>
      <c r="G23" s="14">
        <f>INDEX('10_municipios'!$F$10:$F$506,MATCH(A23,'10_municipios'!$A$10:$A$506,0))</f>
        <v/>
      </c>
    </row>
    <row r="24">
      <c r="A24" s="31" t="n">
        <v>4322525</v>
      </c>
      <c r="B24" s="5">
        <f>INDEX('10_municipios'!$B$10:$B$506,MATCH(A24,'10_municipios'!$A$10:$A$506,0))</f>
        <v/>
      </c>
      <c r="C24" s="14">
        <f>INDEX('10_municipios'!$G$10:$G$506,MATCH(A24,'10_municipios'!$A$10:$A$506,0))</f>
        <v/>
      </c>
      <c r="D24" s="14">
        <f>INDEX('10_municipios'!$C$10:$C$506,MATCH(A24,'10_municipios'!$A$10:$A$506,0))</f>
        <v/>
      </c>
      <c r="E24" s="14">
        <f>INDEX('10_municipios'!$D$10:$D$506,MATCH(A24,'10_municipios'!$A$10:$A$506,0))</f>
        <v/>
      </c>
      <c r="F24" s="14">
        <f>INDEX('10_municipios'!$E$10:$E$506,MATCH(A24,'10_municipios'!$A$10:$A$506,0))</f>
        <v/>
      </c>
      <c r="G24" s="14">
        <f>INDEX('10_municipios'!$F$10:$F$506,MATCH(A24,'10_municipios'!$A$10:$A$506,0))</f>
        <v/>
      </c>
    </row>
    <row r="25">
      <c r="A25" s="31" t="n">
        <v>4309753</v>
      </c>
      <c r="B25" s="5">
        <f>INDEX('10_municipios'!$B$10:$B$506,MATCH(A25,'10_municipios'!$A$10:$A$506,0))</f>
        <v/>
      </c>
      <c r="C25" s="14">
        <f>INDEX('10_municipios'!$G$10:$G$506,MATCH(A25,'10_municipios'!$A$10:$A$506,0))</f>
        <v/>
      </c>
      <c r="D25" s="14">
        <f>INDEX('10_municipios'!$C$10:$C$506,MATCH(A25,'10_municipios'!$A$10:$A$506,0))</f>
        <v/>
      </c>
      <c r="E25" s="14">
        <f>INDEX('10_municipios'!$D$10:$D$506,MATCH(A25,'10_municipios'!$A$10:$A$506,0))</f>
        <v/>
      </c>
      <c r="F25" s="14">
        <f>INDEX('10_municipios'!$E$10:$E$506,MATCH(A25,'10_municipios'!$A$10:$A$506,0))</f>
        <v/>
      </c>
      <c r="G25" s="14">
        <f>INDEX('10_municipios'!$F$10:$F$506,MATCH(A25,'10_municipios'!$A$10:$A$506,0))</f>
        <v/>
      </c>
    </row>
    <row r="26">
      <c r="A26" s="31" t="n">
        <v>4309571</v>
      </c>
      <c r="B26" s="5">
        <f>INDEX('10_municipios'!$B$10:$B$506,MATCH(A26,'10_municipios'!$A$10:$A$506,0))</f>
        <v/>
      </c>
      <c r="C26" s="14">
        <f>INDEX('10_municipios'!$G$10:$G$506,MATCH(A26,'10_municipios'!$A$10:$A$506,0))</f>
        <v/>
      </c>
      <c r="D26" s="14">
        <f>INDEX('10_municipios'!$C$10:$C$506,MATCH(A26,'10_municipios'!$A$10:$A$506,0))</f>
        <v/>
      </c>
      <c r="E26" s="14">
        <f>INDEX('10_municipios'!$D$10:$D$506,MATCH(A26,'10_municipios'!$A$10:$A$506,0))</f>
        <v/>
      </c>
      <c r="F26" s="14">
        <f>INDEX('10_municipios'!$E$10:$E$506,MATCH(A26,'10_municipios'!$A$10:$A$506,0))</f>
        <v/>
      </c>
      <c r="G26" s="14">
        <f>INDEX('10_municipios'!$F$10:$F$506,MATCH(A26,'10_municipios'!$A$10:$A$506,0))</f>
        <v/>
      </c>
    </row>
    <row r="27">
      <c r="A27" s="31" t="n">
        <v>4307815</v>
      </c>
      <c r="B27" s="5">
        <f>INDEX('10_municipios'!$B$10:$B$506,MATCH(A27,'10_municipios'!$A$10:$A$506,0))</f>
        <v/>
      </c>
      <c r="C27" s="14">
        <f>INDEX('10_municipios'!$G$10:$G$506,MATCH(A27,'10_municipios'!$A$10:$A$506,0))</f>
        <v/>
      </c>
      <c r="D27" s="14">
        <f>INDEX('10_municipios'!$C$10:$C$506,MATCH(A27,'10_municipios'!$A$10:$A$506,0))</f>
        <v/>
      </c>
      <c r="E27" s="14">
        <f>INDEX('10_municipios'!$D$10:$D$506,MATCH(A27,'10_municipios'!$A$10:$A$506,0))</f>
        <v/>
      </c>
      <c r="F27" s="14">
        <f>INDEX('10_municipios'!$E$10:$E$506,MATCH(A27,'10_municipios'!$A$10:$A$506,0))</f>
        <v/>
      </c>
      <c r="G27" s="14">
        <f>INDEX('10_municipios'!$F$10:$F$506,MATCH(A27,'10_municipios'!$A$10:$A$506,0))</f>
        <v/>
      </c>
    </row>
    <row r="28">
      <c r="A28" s="31" t="n">
        <v>4322152</v>
      </c>
      <c r="B28" s="5">
        <f>INDEX('10_municipios'!$B$10:$B$506,MATCH(A28,'10_municipios'!$A$10:$A$506,0))</f>
        <v/>
      </c>
      <c r="C28" s="14">
        <f>INDEX('10_municipios'!$G$10:$G$506,MATCH(A28,'10_municipios'!$A$10:$A$506,0))</f>
        <v/>
      </c>
      <c r="D28" s="14">
        <f>INDEX('10_municipios'!$C$10:$C$506,MATCH(A28,'10_municipios'!$A$10:$A$506,0))</f>
        <v/>
      </c>
      <c r="E28" s="14">
        <f>INDEX('10_municipios'!$D$10:$D$506,MATCH(A28,'10_municipios'!$A$10:$A$506,0))</f>
        <v/>
      </c>
      <c r="F28" s="14">
        <f>INDEX('10_municipios'!$E$10:$E$506,MATCH(A28,'10_municipios'!$A$10:$A$506,0))</f>
        <v/>
      </c>
      <c r="G28" s="14">
        <f>INDEX('10_municipios'!$F$10:$F$506,MATCH(A28,'10_municipios'!$A$10:$A$506,0))</f>
        <v/>
      </c>
    </row>
    <row r="29">
      <c r="A29" s="31" t="n">
        <v>4311239</v>
      </c>
      <c r="B29" s="5">
        <f>INDEX('10_municipios'!$B$10:$B$506,MATCH(A29,'10_municipios'!$A$10:$A$506,0))</f>
        <v/>
      </c>
      <c r="C29" s="14">
        <f>INDEX('10_municipios'!$G$10:$G$506,MATCH(A29,'10_municipios'!$A$10:$A$506,0))</f>
        <v/>
      </c>
      <c r="D29" s="14">
        <f>INDEX('10_municipios'!$C$10:$C$506,MATCH(A29,'10_municipios'!$A$10:$A$506,0))</f>
        <v/>
      </c>
      <c r="E29" s="14">
        <f>INDEX('10_municipios'!$D$10:$D$506,MATCH(A29,'10_municipios'!$A$10:$A$506,0))</f>
        <v/>
      </c>
      <c r="F29" s="14">
        <f>INDEX('10_municipios'!$E$10:$E$506,MATCH(A29,'10_municipios'!$A$10:$A$506,0))</f>
        <v/>
      </c>
      <c r="G29" s="14">
        <f>INDEX('10_municipios'!$F$10:$F$506,MATCH(A29,'10_municipios'!$A$10:$A$506,0))</f>
        <v/>
      </c>
    </row>
    <row r="30">
      <c r="B30" s="4" t="inlineStr">
        <is>
          <t>COREDE</t>
        </is>
      </c>
      <c r="C30" s="13">
        <f>SUM(C7:C29)</f>
        <v/>
      </c>
      <c r="D30" s="13">
        <f>SUM(D7:D29)</f>
        <v/>
      </c>
      <c r="E30" s="13">
        <f>SUM(E7:E29)</f>
        <v/>
      </c>
      <c r="F30" s="13">
        <f>SUM(F7:F29)</f>
        <v/>
      </c>
      <c r="G30" s="13">
        <f>SUM(G7:G29)</f>
        <v/>
      </c>
    </row>
    <row r="31">
      <c r="A31" s="5" t="inlineStr">
        <is>
          <t>Parcela do transbordamento estadual</t>
        </is>
      </c>
      <c r="C31" s="15">
        <f>C30/transbordo</f>
        <v/>
      </c>
    </row>
    <row r="32">
      <c r="A32" s="5" t="inlineStr">
        <is>
          <t>Conferência da flag, R$ mi</t>
        </is>
      </c>
      <c r="C32" s="19">
        <f>SUMIF('10_municipios'!$I$10:$I$506,1,'10_municipios'!$G$10:$G$506)-C30</f>
        <v/>
      </c>
    </row>
  </sheetData>
  <pageMargins left="0.75" right="0.75" top="1" bottom="1" header="0.5" footer="0.5"/>
  <pageSetup orientation="landscape" paperSize="9" fitToHeight="0" fitToWidth="1"/>
  <headerFooter>
    <oddHeader>&amp;ROpção 2 · MIP Ipea + MIP-RS</oddHeader>
    <oddFooter>&amp;LSanta Cruz do Sul · 2037 · R$ de 2025&amp;RPágina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2026-10-19T14:25:11Z</dcterms:created>
  <dcterms:modified xsi:type="dcterms:W3CDTF">2026-10-19T14:25:12Z</dcterms:modified>
</cp:coreProperties>
</file>